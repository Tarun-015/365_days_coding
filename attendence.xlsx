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 1" sheetId="1" r:id="rId5"/>
    <sheet state="visible" name="DA 2" sheetId="2" r:id="rId6"/>
    <sheet state="visible" name="DA 3" sheetId="3" r:id="rId7"/>
    <sheet state="visible" name="FSD 1" sheetId="4" r:id="rId8"/>
    <sheet state="visible" name="FSD 2" sheetId="5" r:id="rId9"/>
    <sheet state="visible" name="FSD 3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2">
      <text>
        <t xml:space="preserve">TEST
</t>
      </text>
    </comment>
  </commentList>
</comments>
</file>

<file path=xl/sharedStrings.xml><?xml version="1.0" encoding="utf-8"?>
<sst xmlns="http://schemas.openxmlformats.org/spreadsheetml/2006/main" count="1914" uniqueCount="1292">
  <si>
    <t>Name</t>
  </si>
  <si>
    <t>Email</t>
  </si>
  <si>
    <t>Phone</t>
  </si>
  <si>
    <t>Centre</t>
  </si>
  <si>
    <t xml:space="preserve">Total Classes        </t>
  </si>
  <si>
    <t xml:space="preserve">Class attended </t>
  </si>
  <si>
    <t>Percentage</t>
  </si>
  <si>
    <t>Total Class without shift 2</t>
  </si>
  <si>
    <t>Class Attended without shift 2</t>
  </si>
  <si>
    <t>Percentage without shift 2</t>
  </si>
  <si>
    <t>31-Aug-2025</t>
  </si>
  <si>
    <t>30-Aug-2025</t>
  </si>
  <si>
    <t>Shift 2</t>
  </si>
  <si>
    <t>Shift 1</t>
  </si>
  <si>
    <t>S R AdithyaR Adithya</t>
  </si>
  <si>
    <t>N.A.</t>
  </si>
  <si>
    <t xml:space="preserve"> </t>
  </si>
  <si>
    <t>Furquan mohammed</t>
  </si>
  <si>
    <t>furquanmohammedadhoni@gmail.com</t>
  </si>
  <si>
    <t>Bengalore</t>
  </si>
  <si>
    <t>Abhishek Shikhre</t>
  </si>
  <si>
    <t>abhishikhare1111@gmail.com</t>
  </si>
  <si>
    <t>Indore</t>
  </si>
  <si>
    <t xml:space="preserve">Ajay Banait </t>
  </si>
  <si>
    <t xml:space="preserve">ajaybanait5@gmail.com </t>
  </si>
  <si>
    <t xml:space="preserve">Ankesh Maheshwari </t>
  </si>
  <si>
    <t>ankeshmaheshwari2002@gmail.com</t>
  </si>
  <si>
    <t>Bhagyashree Agrawal</t>
  </si>
  <si>
    <t>bhagyashreeagrawal5@gmail.com</t>
  </si>
  <si>
    <t>Durgesh Suryawanshi</t>
  </si>
  <si>
    <t>Thoratdurgesh5@gmail.com</t>
  </si>
  <si>
    <t>Harshit Sharma</t>
  </si>
  <si>
    <t>harshitsharma881549@gmail.com</t>
  </si>
  <si>
    <t>Jay Varandani</t>
  </si>
  <si>
    <t>jayvarandani123@gmail.com</t>
  </si>
  <si>
    <t>Kuldeep Rathore</t>
  </si>
  <si>
    <t>kuldeeprathore9440@gmail.com</t>
  </si>
  <si>
    <t>Maitri Kashmiri</t>
  </si>
  <si>
    <t>maitrikashmiri@gmail.com</t>
  </si>
  <si>
    <t>Mayank Asahiya</t>
  </si>
  <si>
    <t>mayankasahiya27@gmail.com</t>
  </si>
  <si>
    <t>Mokshini Baglekar</t>
  </si>
  <si>
    <t>Mokshinibaglekar@gmail.com</t>
  </si>
  <si>
    <t>Monu Singh</t>
  </si>
  <si>
    <t>monumonu7691mo@gmail.com</t>
  </si>
  <si>
    <t>Nayan Malviya</t>
  </si>
  <si>
    <t>nayanranawat78@gmail.com</t>
  </si>
  <si>
    <t>Piyush Tiwari</t>
  </si>
  <si>
    <t>piyushtiwari11041104@gmail.com</t>
  </si>
  <si>
    <t xml:space="preserve">Prachi Patel </t>
  </si>
  <si>
    <t>prachipatel572002@gmail.com</t>
  </si>
  <si>
    <t>Priyanshu Patidar</t>
  </si>
  <si>
    <t>priyanshupatidar5619@gmail.com</t>
  </si>
  <si>
    <t>Raghav Mahajan</t>
  </si>
  <si>
    <t>raghavmahajan965@gmail.com</t>
  </si>
  <si>
    <t>Rudra Shrotriya</t>
  </si>
  <si>
    <t>shrotriyarudra@gmail.com</t>
  </si>
  <si>
    <t>Sachin Sahu</t>
  </si>
  <si>
    <t>sachinsahu1036@gmail.com</t>
  </si>
  <si>
    <t>Sanskriti Patil</t>
  </si>
  <si>
    <t>sanskritigurjar@gmail.com</t>
  </si>
  <si>
    <t>Shivam Shelke</t>
  </si>
  <si>
    <t>shivamshelke254@gmail.com</t>
  </si>
  <si>
    <t>Shivam Tripathi</t>
  </si>
  <si>
    <t>Stripathi4876@gmail.com</t>
  </si>
  <si>
    <t>Shivangi Singh</t>
  </si>
  <si>
    <t>shivangisingh05052005@gmail.com</t>
  </si>
  <si>
    <t>Shubham Singh Chouhan</t>
  </si>
  <si>
    <t>shubhamschauhan31@gmail.com</t>
  </si>
  <si>
    <t>Shubhangi Tiwari</t>
  </si>
  <si>
    <t>shubhangitiwari4113@gmail.com</t>
  </si>
  <si>
    <t>Vaidant Narang</t>
  </si>
  <si>
    <t>vaidantnarang682@gmail.com</t>
  </si>
  <si>
    <t>Vedant Bhardwaj</t>
  </si>
  <si>
    <t>vedantbhardwaj35@gmail.com</t>
  </si>
  <si>
    <t>Vikram Jha</t>
  </si>
  <si>
    <t>jhavikram187@gmail.com</t>
  </si>
  <si>
    <t>Yash Chaorashe</t>
  </si>
  <si>
    <t>yashchaorashe19@gmail.com</t>
  </si>
  <si>
    <t xml:space="preserve">Yash soni </t>
  </si>
  <si>
    <t>Yashsoni2033@gmail.com</t>
  </si>
  <si>
    <t>Aarsh lal</t>
  </si>
  <si>
    <t>aarshlal20@gmail.com</t>
  </si>
  <si>
    <t>Lucknow</t>
  </si>
  <si>
    <t>AbdulRehman</t>
  </si>
  <si>
    <t>abdulrehmanidrisi05@gmail.com</t>
  </si>
  <si>
    <t>Abhay Singh</t>
  </si>
  <si>
    <t>abhaysingh181104@gmail.com</t>
  </si>
  <si>
    <t>Abhay Yadav</t>
  </si>
  <si>
    <t>lkoabhay04@gmail.com</t>
  </si>
  <si>
    <t>Abhishek singh</t>
  </si>
  <si>
    <t>singhabhishek76785@gmail.com</t>
  </si>
  <si>
    <t>Ajit Kumar</t>
  </si>
  <si>
    <t>Akansksha Pal</t>
  </si>
  <si>
    <t>adarshpal567643@gmail.com</t>
  </si>
  <si>
    <t>Akash Gautam</t>
  </si>
  <si>
    <t>gautam91700@gmail.com</t>
  </si>
  <si>
    <t>Ambuj Singh</t>
  </si>
  <si>
    <t>ambujsiingh1103@gmail.com</t>
  </si>
  <si>
    <t>Anchal singh</t>
  </si>
  <si>
    <t>anchals6392@gmail.com</t>
  </si>
  <si>
    <t>AnjaliYadav</t>
  </si>
  <si>
    <t>yadavanjali2901@gmail.com</t>
  </si>
  <si>
    <t>Anshul Yadav</t>
  </si>
  <si>
    <t>anshulanshyadav00@gmail.com</t>
  </si>
  <si>
    <t>Aryan Dwivedi</t>
  </si>
  <si>
    <t>aryandwive769@gmail.com</t>
  </si>
  <si>
    <t>AryanSingh</t>
  </si>
  <si>
    <t>aryansingh12082003@gmail.com</t>
  </si>
  <si>
    <t>Avinash Kushwaha</t>
  </si>
  <si>
    <t>aviperfectoor@gmail.com</t>
  </si>
  <si>
    <t>Ayush Srivastva</t>
  </si>
  <si>
    <t>ayushsri2510@gmail.com</t>
  </si>
  <si>
    <t>BhanuMishra</t>
  </si>
  <si>
    <t>vabmishra9450@gmail.com</t>
  </si>
  <si>
    <t xml:space="preserve">Dhananjay Shukla </t>
  </si>
  <si>
    <t>shukladhananjay181995@gmail.com</t>
  </si>
  <si>
    <t xml:space="preserve">Dinesh </t>
  </si>
  <si>
    <t>dineshya199@gmail.com</t>
  </si>
  <si>
    <t>Fawad mirza</t>
  </si>
  <si>
    <t>fawadmirza46@gmail.com</t>
  </si>
  <si>
    <t>Gaurav Vimal</t>
  </si>
  <si>
    <t>gauravvimal64@gmail.com</t>
  </si>
  <si>
    <t>Hamza khan</t>
  </si>
  <si>
    <t>kh336364@gmail.com</t>
  </si>
  <si>
    <t>Harshit Prajapati</t>
  </si>
  <si>
    <t>harshitprajapati3692@gmail.com</t>
  </si>
  <si>
    <t>Hrshita Pandey</t>
  </si>
  <si>
    <t>harshitapandey2910@gmail.com</t>
  </si>
  <si>
    <t>iqra bano</t>
  </si>
  <si>
    <t>iqrabano1458@gmail.com</t>
  </si>
  <si>
    <t>Jay Prakash</t>
  </si>
  <si>
    <t>njaycollege@gmail.com</t>
  </si>
  <si>
    <t xml:space="preserve">Mahi </t>
  </si>
  <si>
    <t>mahimahi951988@gmail.com</t>
  </si>
  <si>
    <t>Manish Gupta</t>
  </si>
  <si>
    <t>30899manish@gmail.com</t>
  </si>
  <si>
    <t>Mansi Dubey</t>
  </si>
  <si>
    <t>mansidubey227@gmail.com</t>
  </si>
  <si>
    <t>MD Sabir</t>
  </si>
  <si>
    <t>sabir1430r@gmail.com</t>
  </si>
  <si>
    <t>Mohammad Saif</t>
  </si>
  <si>
    <t>hnjisaif@gmail.com</t>
  </si>
  <si>
    <t>Mohd Rahul Ahmad</t>
  </si>
  <si>
    <t>inahmad001@gmail.com</t>
  </si>
  <si>
    <t>Mohd Shams Naqvi</t>
  </si>
  <si>
    <t>naqvishams61@gmail.com</t>
  </si>
  <si>
    <t>Mohit pandey</t>
  </si>
  <si>
    <t>mohitpandey781@gmail.com</t>
  </si>
  <si>
    <t>Nahida</t>
  </si>
  <si>
    <t>swtnahidakhan3101@gmail.com</t>
  </si>
  <si>
    <t>Neeraj Kumar</t>
  </si>
  <si>
    <t>cmaneerajkumar2023@gmail.com</t>
  </si>
  <si>
    <t>Nikita Joshi</t>
  </si>
  <si>
    <t>nikijoshi2002@gmail.com</t>
  </si>
  <si>
    <t>PrateekSingh</t>
  </si>
  <si>
    <t>prateeksingh5689@gmail.com</t>
  </si>
  <si>
    <t>Raj Yadav</t>
  </si>
  <si>
    <t>rajyadav42943@gmail.com</t>
  </si>
  <si>
    <t>Rajesh Kumar Sahu</t>
  </si>
  <si>
    <t>rajeshsau2901995@gmail.com</t>
  </si>
  <si>
    <t>RaviGupta</t>
  </si>
  <si>
    <t>dreamias2425@gmail.com</t>
  </si>
  <si>
    <t>Rishikesh Kumar</t>
  </si>
  <si>
    <t>krrishikesh129@gmail.com</t>
  </si>
  <si>
    <t>Sandeep kumar</t>
  </si>
  <si>
    <t>aryadeep9596@gmail.com</t>
  </si>
  <si>
    <t>Satish kumar Mishra</t>
  </si>
  <si>
    <t>omnicolorsbricks@gmail.com</t>
  </si>
  <si>
    <t>SaurabhVerma</t>
  </si>
  <si>
    <t>saurabhsv764@gmail.com</t>
  </si>
  <si>
    <t>Shadan ali</t>
  </si>
  <si>
    <t>shadanali4886@gmail.com</t>
  </si>
  <si>
    <t xml:space="preserve">SHIKHAR GUPTA </t>
  </si>
  <si>
    <t>shikhargupta114251@gmail.com</t>
  </si>
  <si>
    <t>Shiv Chand Sahni</t>
  </si>
  <si>
    <t>sahni.scsahni06@gmail.com</t>
  </si>
  <si>
    <t>shiv narayan singh</t>
  </si>
  <si>
    <t>shivnarainsingh12@gmail.com</t>
  </si>
  <si>
    <t>shiv shakti Mishra</t>
  </si>
  <si>
    <t>shivshakti4914@gmail.com</t>
  </si>
  <si>
    <t>Shreya shukla</t>
  </si>
  <si>
    <t>shreya.s0543@gmail.com</t>
  </si>
  <si>
    <t>Sohail Ansari</t>
  </si>
  <si>
    <t>asarisohail8084@gmail.com</t>
  </si>
  <si>
    <t>SUMIT UPADHYAY</t>
  </si>
  <si>
    <t>upadhyay2002sumit@gmail.com</t>
  </si>
  <si>
    <t>Supreet kaur</t>
  </si>
  <si>
    <t>supreetkr888@gmail.com</t>
  </si>
  <si>
    <t>Surmaya Bhatnagar</t>
  </si>
  <si>
    <t>suramyabhatnagar57@gmail.com</t>
  </si>
  <si>
    <t>Syed Kazeem Akbar</t>
  </si>
  <si>
    <t>kazeemakbar099@gmail.com</t>
  </si>
  <si>
    <t>Utkarsh Srivastava</t>
  </si>
  <si>
    <t>utkarshsrivastav632005@gmail.com</t>
  </si>
  <si>
    <t>Vaishali Rawat</t>
  </si>
  <si>
    <t>tanejavaishali58@gmail.com</t>
  </si>
  <si>
    <t>Virendra Kumar Tiwari</t>
  </si>
  <si>
    <t>tiwarivirendra56@gmail.com</t>
  </si>
  <si>
    <t>Vivek saxena</t>
  </si>
  <si>
    <t>viveksaxena8423@gmail.com</t>
  </si>
  <si>
    <t>Vipul Kumar Prajapati</t>
  </si>
  <si>
    <t>Vipulkum31@gmail.com</t>
  </si>
  <si>
    <t>Lucknow - Noida</t>
  </si>
  <si>
    <t>Contact</t>
  </si>
  <si>
    <t>Total Classes</t>
  </si>
  <si>
    <t>Attended Classes</t>
  </si>
  <si>
    <t>Attendance Percentage</t>
  </si>
  <si>
    <t>a</t>
  </si>
  <si>
    <t xml:space="preserve">Rahul Sharma </t>
  </si>
  <si>
    <t>rahul.sharma.smit@gmail.com</t>
  </si>
  <si>
    <t>7726920739</t>
  </si>
  <si>
    <t>Banglore</t>
  </si>
  <si>
    <t xml:space="preserve">Shubhankar Banerjee </t>
  </si>
  <si>
    <t>banerjeeshubhankar30@gmail.com</t>
  </si>
  <si>
    <t>7501588581</t>
  </si>
  <si>
    <t>Jeet Dey</t>
  </si>
  <si>
    <t>deyoffical2003@gmail.com</t>
  </si>
  <si>
    <t>7667007580</t>
  </si>
  <si>
    <t>Shashank K V</t>
  </si>
  <si>
    <t>karanamshashank569@gmail.com</t>
  </si>
  <si>
    <t>9392591455</t>
  </si>
  <si>
    <t>Syed shabbir Ali Meerza</t>
  </si>
  <si>
    <t>shabbir.official2002@gmail.com</t>
  </si>
  <si>
    <t>9038338407</t>
  </si>
  <si>
    <t>Biswapriya Roychoudhury</t>
  </si>
  <si>
    <t>biswapriyaroychowdhury@gmail.com</t>
  </si>
  <si>
    <t>9933111811</t>
  </si>
  <si>
    <t>Sarojini S</t>
  </si>
  <si>
    <t>sarojinishial7@gmail.com</t>
  </si>
  <si>
    <t>8861057106</t>
  </si>
  <si>
    <t xml:space="preserve">Aayush yaduvanshi </t>
  </si>
  <si>
    <t>bannaaayushshing@gmail.com</t>
  </si>
  <si>
    <t>8319400292</t>
  </si>
  <si>
    <t>Abhijeet Singh</t>
  </si>
  <si>
    <t>abhijeetsingh20010@gmail.com</t>
  </si>
  <si>
    <t>7999809954</t>
  </si>
  <si>
    <t>Aditya Nath Singh</t>
  </si>
  <si>
    <t>aadiiadityasingh@gmail.com</t>
  </si>
  <si>
    <t>Aman Barman</t>
  </si>
  <si>
    <t>aman.barman.0607@gmail.com</t>
  </si>
  <si>
    <t>8871246498</t>
  </si>
  <si>
    <t>Anant dwivedi</t>
  </si>
  <si>
    <t>anantdwivedi05@gmail.com</t>
  </si>
  <si>
    <t>9669939170</t>
  </si>
  <si>
    <t>Aniket Chaubey</t>
  </si>
  <si>
    <t>Aniketschaubey@gmail.com</t>
  </si>
  <si>
    <t>9873604564</t>
  </si>
  <si>
    <t xml:space="preserve">Anjali Kahar </t>
  </si>
  <si>
    <t>anjalikahar8087@gmail.com</t>
  </si>
  <si>
    <t>8962429850</t>
  </si>
  <si>
    <t xml:space="preserve">Arpit Tiwari </t>
  </si>
  <si>
    <t>tiwariarpit9255@gmail.com</t>
  </si>
  <si>
    <t>7489655005</t>
  </si>
  <si>
    <t xml:space="preserve">Avinash Kumar Pathak </t>
  </si>
  <si>
    <t>akpathak23072002@gmail.com</t>
  </si>
  <si>
    <t>9608826887</t>
  </si>
  <si>
    <t>Ayush Verma</t>
  </si>
  <si>
    <t>Ayuahverma22@gmail.com</t>
  </si>
  <si>
    <t>9981383106</t>
  </si>
  <si>
    <t>Ayushi bohra</t>
  </si>
  <si>
    <t>ayushibohra4@gmail.com</t>
  </si>
  <si>
    <t>6232889034</t>
  </si>
  <si>
    <t>Darshan Raikwar</t>
  </si>
  <si>
    <t>darshanraikwar32@gmail.com</t>
  </si>
  <si>
    <t>8462986777</t>
  </si>
  <si>
    <t>Devesh jain</t>
  </si>
  <si>
    <t>jaindevesh805@gmail.com</t>
  </si>
  <si>
    <t>9479676840</t>
  </si>
  <si>
    <t>Divyanshi Ekade</t>
  </si>
  <si>
    <t>ekadedivya0503@gmail.com</t>
  </si>
  <si>
    <t>7898681277</t>
  </si>
  <si>
    <t xml:space="preserve">Goutam Chouhan </t>
  </si>
  <si>
    <t>ghoutamchouhan@gmail.com</t>
  </si>
  <si>
    <t>8305152009</t>
  </si>
  <si>
    <t>Harish bandre</t>
  </si>
  <si>
    <t>harishbandre175@gmail.com</t>
  </si>
  <si>
    <t>8103618228</t>
  </si>
  <si>
    <t>Kashish chhajed</t>
  </si>
  <si>
    <t>kashishchhajed153@gmail.com</t>
  </si>
  <si>
    <t>9644469697</t>
  </si>
  <si>
    <t xml:space="preserve">Kritika Jain </t>
  </si>
  <si>
    <t xml:space="preserve">kritijain2905@gmail.com </t>
  </si>
  <si>
    <t>7000782270</t>
  </si>
  <si>
    <t xml:space="preserve">Mohit Choudhary </t>
  </si>
  <si>
    <t>mohitchoudhary0577@gmail.com</t>
  </si>
  <si>
    <t>9644489924</t>
  </si>
  <si>
    <t xml:space="preserve">Nikhil Vishwakarma </t>
  </si>
  <si>
    <t>nikhil908.com@gmail.com</t>
  </si>
  <si>
    <t>8085644435</t>
  </si>
  <si>
    <t>Praddyumna Vyas</t>
  </si>
  <si>
    <t>praddyumnavyas9@gmail.com</t>
  </si>
  <si>
    <t>9981378951</t>
  </si>
  <si>
    <t xml:space="preserve">Pradeep Tanwar </t>
  </si>
  <si>
    <t>pradeep2004tanwar@gmail.com</t>
  </si>
  <si>
    <t>9753375946</t>
  </si>
  <si>
    <t>Priyal waghela</t>
  </si>
  <si>
    <t xml:space="preserve">Priyalwaghela21@gmail.com </t>
  </si>
  <si>
    <t>8889977789</t>
  </si>
  <si>
    <t xml:space="preserve">Rishabh chaturvedi </t>
  </si>
  <si>
    <t>chaturvedirishabh95@zohomail.in</t>
  </si>
  <si>
    <t>9599384847</t>
  </si>
  <si>
    <t>Rohit bhosle</t>
  </si>
  <si>
    <t>rohit86499@gmail.com</t>
  </si>
  <si>
    <t>8319634190</t>
  </si>
  <si>
    <t>Saransh sharma</t>
  </si>
  <si>
    <t>sharmasaransh792@gmail.com</t>
  </si>
  <si>
    <t>9753691051</t>
  </si>
  <si>
    <t>Saurabh Yadav</t>
  </si>
  <si>
    <t>sy9433066@gmail.com</t>
  </si>
  <si>
    <t>9644923035</t>
  </si>
  <si>
    <t>Sejal jain</t>
  </si>
  <si>
    <t>sejaljainindia25@gmail.com</t>
  </si>
  <si>
    <t>8349702177</t>
  </si>
  <si>
    <t>Shiva Mourya</t>
  </si>
  <si>
    <t>shivarajputt4@gmail.com</t>
  </si>
  <si>
    <t>6267258453</t>
  </si>
  <si>
    <t xml:space="preserve">Shubham Choudhary </t>
  </si>
  <si>
    <t>Sidchoudhary869@gmail.com</t>
  </si>
  <si>
    <t>7999875720</t>
  </si>
  <si>
    <t xml:space="preserve">Siddarth Kaushik </t>
  </si>
  <si>
    <t>siddarthkaushik98388@gmail.com</t>
  </si>
  <si>
    <t>9695288838</t>
  </si>
  <si>
    <t xml:space="preserve">Trishu Vishwakarma </t>
  </si>
  <si>
    <t>trishuvishwakarma819@gmail.com</t>
  </si>
  <si>
    <t>7722886368</t>
  </si>
  <si>
    <t>Vaishnavi Barkade</t>
  </si>
  <si>
    <t>Barkadevaishnavi1@gmail.com</t>
  </si>
  <si>
    <t>7987313409</t>
  </si>
  <si>
    <t>Yash Nema</t>
  </si>
  <si>
    <t>nemayash2511@gmail.com</t>
  </si>
  <si>
    <t>6267114951</t>
  </si>
  <si>
    <t>Yash Singh Kushwaha</t>
  </si>
  <si>
    <t>yash910922@gmail.com</t>
  </si>
  <si>
    <t>9109221279</t>
  </si>
  <si>
    <t>Adarsh Maurya</t>
  </si>
  <si>
    <t>mauryaadarsh730@gmail.com</t>
  </si>
  <si>
    <t>7800005455</t>
  </si>
  <si>
    <t>Adil Husain</t>
  </si>
  <si>
    <t>husainadil786@gmail.com</t>
  </si>
  <si>
    <t>9319828349</t>
  </si>
  <si>
    <t>Akarsh shukla</t>
  </si>
  <si>
    <t>akarshshukla9889@gmail.com</t>
  </si>
  <si>
    <t>9696980287</t>
  </si>
  <si>
    <t>Akash Verma</t>
  </si>
  <si>
    <t>akashverma0581@gmail.com</t>
  </si>
  <si>
    <t>Aman kumar</t>
  </si>
  <si>
    <t>amnnyddv@gmail.com</t>
  </si>
  <si>
    <t>8081617233</t>
  </si>
  <si>
    <t>Aman Srivastav</t>
  </si>
  <si>
    <t>jaimaabhadrakalidevi@gmail.com</t>
  </si>
  <si>
    <t>8858180831</t>
  </si>
  <si>
    <t>Amanpreet Singh</t>
  </si>
  <si>
    <t>amanpreetkalra352@gmail.com</t>
  </si>
  <si>
    <t>8299884271</t>
  </si>
  <si>
    <t>Amrika Bera</t>
  </si>
  <si>
    <t>amrikabera@gmail.com</t>
  </si>
  <si>
    <t>9919075188</t>
  </si>
  <si>
    <t xml:space="preserve">Anand Verma </t>
  </si>
  <si>
    <t>anandverma818283@gmail.com</t>
  </si>
  <si>
    <t>9792215031</t>
  </si>
  <si>
    <t xml:space="preserve">Aniket Verma </t>
  </si>
  <si>
    <t>aniketverma2592@gmail.com</t>
  </si>
  <si>
    <t>Ankit kumar tiwari</t>
  </si>
  <si>
    <t>ak6905636@gmail.com</t>
  </si>
  <si>
    <t>8252737376</t>
  </si>
  <si>
    <t xml:space="preserve">Ankit Vishwakarma </t>
  </si>
  <si>
    <t>mr.ankitvishwakarma1510@gmail.com</t>
  </si>
  <si>
    <t>9335039718</t>
  </si>
  <si>
    <t xml:space="preserve">Anshika Rawat </t>
  </si>
  <si>
    <t>anshikarawat0698@gmail.com</t>
  </si>
  <si>
    <t>Anup Singh</t>
  </si>
  <si>
    <t>anup2952@gmail.com</t>
  </si>
  <si>
    <t>9665504727</t>
  </si>
  <si>
    <t xml:space="preserve">Anurag Singh </t>
  </si>
  <si>
    <t>anuragsinghannubhaiya@gmail.com</t>
  </si>
  <si>
    <t>9696880744</t>
  </si>
  <si>
    <t>Anushka Sahu</t>
  </si>
  <si>
    <t>Sahudkrum783@gmail.com</t>
  </si>
  <si>
    <t>7839919005</t>
  </si>
  <si>
    <t xml:space="preserve">Arun Kumar Verma </t>
  </si>
  <si>
    <t>arun.vrm.121@gmail.com</t>
  </si>
  <si>
    <t>8095734541</t>
  </si>
  <si>
    <t xml:space="preserve">Ashvani singh </t>
  </si>
  <si>
    <t>ashvanisingh2685@gmail.com</t>
  </si>
  <si>
    <t>7897370741</t>
  </si>
  <si>
    <t xml:space="preserve">Asmit Kumar Shrivastav </t>
  </si>
  <si>
    <t>asmitshrivastva7514@gmail.com</t>
  </si>
  <si>
    <t>Ayush Yadav</t>
  </si>
  <si>
    <t>ayush10112001@gmail.com</t>
  </si>
  <si>
    <t xml:space="preserve">Deepanshu Sahu </t>
  </si>
  <si>
    <t>puja14859@gmail.com</t>
  </si>
  <si>
    <t>Faisal</t>
  </si>
  <si>
    <t>7905094122</t>
  </si>
  <si>
    <t>Gaurangi dixit</t>
  </si>
  <si>
    <t>dixitgaurangi023@gmail.com</t>
  </si>
  <si>
    <t>8853302497</t>
  </si>
  <si>
    <t>Gaurav Yadav</t>
  </si>
  <si>
    <t>gauravydv00111@gmail.com</t>
  </si>
  <si>
    <t>9219404472</t>
  </si>
  <si>
    <t>Hafsa Ali</t>
  </si>
  <si>
    <t>hafsaali10122003@gmail.com</t>
  </si>
  <si>
    <t>7607355015</t>
  </si>
  <si>
    <t>Harsh Srivastava</t>
  </si>
  <si>
    <t>harshitman45@gmail.com</t>
  </si>
  <si>
    <t xml:space="preserve">Khushi pal </t>
  </si>
  <si>
    <t>Palkhushi187@gmail.com</t>
  </si>
  <si>
    <t>9161137562</t>
  </si>
  <si>
    <t xml:space="preserve">Laiba Ansari </t>
  </si>
  <si>
    <t>brawlhero001@gmail.com</t>
  </si>
  <si>
    <t>9305963522</t>
  </si>
  <si>
    <t xml:space="preserve">Mahi Mishra </t>
  </si>
  <si>
    <t>mahimishra19362@gmail.com</t>
  </si>
  <si>
    <t xml:space="preserve">88107 13169 </t>
  </si>
  <si>
    <t>Manu dixit</t>
  </si>
  <si>
    <t>dixitmanu369@gmail.com</t>
  </si>
  <si>
    <t>6268186864</t>
  </si>
  <si>
    <t xml:space="preserve">Mayank Pratap Singh </t>
  </si>
  <si>
    <t>singhmayank1804@gmail.com</t>
  </si>
  <si>
    <t>7392888244</t>
  </si>
  <si>
    <t>MD Nayab</t>
  </si>
  <si>
    <t>nayab567891@gmail.com</t>
  </si>
  <si>
    <t>6387209446</t>
  </si>
  <si>
    <t>Mohd Adnan Naqvi</t>
  </si>
  <si>
    <t>adnannaqvi787@gmail.com</t>
  </si>
  <si>
    <t>8960432596</t>
  </si>
  <si>
    <t>Mohd Asif Khan</t>
  </si>
  <si>
    <t>aksus67419@gmail.com</t>
  </si>
  <si>
    <t>9305922051</t>
  </si>
  <si>
    <t>Mohd Sharib</t>
  </si>
  <si>
    <t>azmisharib0000@gmail.com</t>
  </si>
  <si>
    <t>7080833642</t>
  </si>
  <si>
    <t>Muhammad zaid siddiqui</t>
  </si>
  <si>
    <t>infozaidsiddiqui@gmail.com</t>
  </si>
  <si>
    <t>7307078625</t>
  </si>
  <si>
    <t xml:space="preserve">Muskan Singh </t>
  </si>
  <si>
    <t>reactionmuski05@gmail.com</t>
  </si>
  <si>
    <t>6386245328</t>
  </si>
  <si>
    <t xml:space="preserve">Neelesh Kumar pandey </t>
  </si>
  <si>
    <t>neeleshkumar9823@gmail.com</t>
  </si>
  <si>
    <t>Pradeep yadav</t>
  </si>
  <si>
    <t>pradeepyadav25jan@gmail.com</t>
  </si>
  <si>
    <t>6388142437</t>
  </si>
  <si>
    <t>Prince Chaurasia</t>
  </si>
  <si>
    <t>Chaurasiyaprinceraj@gmail.com</t>
  </si>
  <si>
    <t>Priya kashyap</t>
  </si>
  <si>
    <t>komalkashyap6388@gmail.com</t>
  </si>
  <si>
    <t>6388145642</t>
  </si>
  <si>
    <t xml:space="preserve">Priyanka Saxena </t>
  </si>
  <si>
    <t>Saxena.priya0702@gmail.com</t>
  </si>
  <si>
    <t>9651084242</t>
  </si>
  <si>
    <t>Rahul Pathak</t>
  </si>
  <si>
    <t>rahucool877@gmail.com</t>
  </si>
  <si>
    <t>8299175244</t>
  </si>
  <si>
    <t xml:space="preserve">Rajat Awasthi </t>
  </si>
  <si>
    <t>awasthirajat16@gmail.com</t>
  </si>
  <si>
    <t>9935896085</t>
  </si>
  <si>
    <t>Rausan Srivastva</t>
  </si>
  <si>
    <t>8354028090</t>
  </si>
  <si>
    <t xml:space="preserve">Rishabh Prajapati </t>
  </si>
  <si>
    <t>Yashraj151515@gmail.com</t>
  </si>
  <si>
    <t>Riya Gupta</t>
  </si>
  <si>
    <t>riyagupta231003@gmail.com</t>
  </si>
  <si>
    <t xml:space="preserve">Rizwan Khan </t>
  </si>
  <si>
    <t>amreen.shaan@gmail.com</t>
  </si>
  <si>
    <t>7007697913</t>
  </si>
  <si>
    <t>Rohan Singh</t>
  </si>
  <si>
    <t>rohanthakur8252@gmail.com</t>
  </si>
  <si>
    <t>Sachin sharma</t>
  </si>
  <si>
    <t>sachinsharma123next@gmail.com</t>
  </si>
  <si>
    <t>7565924929</t>
  </si>
  <si>
    <t>Sagun Tripathi</t>
  </si>
  <si>
    <t>tiwarishagun2004@gmail.com</t>
  </si>
  <si>
    <t>Sah Faisal</t>
  </si>
  <si>
    <t>shahf9680@gmail.com</t>
  </si>
  <si>
    <t>Sandeep ghosh</t>
  </si>
  <si>
    <t>ghoshsandeep444@gmail.com</t>
  </si>
  <si>
    <t xml:space="preserve">Sandeep Kumar Yadav </t>
  </si>
  <si>
    <t>divyanshyaduvanshi2020@gmail.com</t>
  </si>
  <si>
    <t>Sarika Gupta</t>
  </si>
  <si>
    <t>sarikagupta2680@gmail.com</t>
  </si>
  <si>
    <t>6386807515</t>
  </si>
  <si>
    <t>Sarthak Sahu</t>
  </si>
  <si>
    <t>sarthak.sahu2448@gmail.com</t>
  </si>
  <si>
    <t>8299185347</t>
  </si>
  <si>
    <t xml:space="preserve">Satish Anand </t>
  </si>
  <si>
    <t>anandji706892@gmail.com</t>
  </si>
  <si>
    <t>7521915197</t>
  </si>
  <si>
    <t>Satvik Pratap Singh</t>
  </si>
  <si>
    <t>singhsatvikpratap@gmail.com</t>
  </si>
  <si>
    <t>9335889944</t>
  </si>
  <si>
    <t xml:space="preserve">Satyaprakash Sahu </t>
  </si>
  <si>
    <t>satyaprakashsahu58637@gmail.com</t>
  </si>
  <si>
    <t>9005930095</t>
  </si>
  <si>
    <t>Saurabh yadav</t>
  </si>
  <si>
    <t>ysaurabh252@gmail.com</t>
  </si>
  <si>
    <t>7897546429</t>
  </si>
  <si>
    <t>Shamsher</t>
  </si>
  <si>
    <t>shahbazkhan75528@gmail.com</t>
  </si>
  <si>
    <t>9289549503</t>
  </si>
  <si>
    <t>Shashank Singh</t>
  </si>
  <si>
    <t>shashanksingh6725@gmail.com</t>
  </si>
  <si>
    <t>Shashank Sinha</t>
  </si>
  <si>
    <t>shashank2227@gmail.com</t>
  </si>
  <si>
    <t>Shashank Tripathi</t>
  </si>
  <si>
    <t>skt94507578@gmail.com</t>
  </si>
  <si>
    <t>Shikhar Yadav</t>
  </si>
  <si>
    <t>shikharyad@gmail.com</t>
  </si>
  <si>
    <t>6388358526</t>
  </si>
  <si>
    <t>Shishir Pandey</t>
  </si>
  <si>
    <t>Shishirp760@gmail.com</t>
  </si>
  <si>
    <t>6387513567</t>
  </si>
  <si>
    <t>Shivam chaudhary</t>
  </si>
  <si>
    <t>shivamchaudhary963412@gmail.com</t>
  </si>
  <si>
    <t>9634666212</t>
  </si>
  <si>
    <t>Shivansh Yadav</t>
  </si>
  <si>
    <t>mrshivusinghyadav@gmail.com</t>
  </si>
  <si>
    <t>9511146006</t>
  </si>
  <si>
    <t>Shobhit Trivedi</t>
  </si>
  <si>
    <t>shobhitrock945@gmail.com</t>
  </si>
  <si>
    <t xml:space="preserve">Shubham Singh </t>
  </si>
  <si>
    <t>singh.shubham8009@gmail.com</t>
  </si>
  <si>
    <t>9005171450</t>
  </si>
  <si>
    <t xml:space="preserve">Sikha Sharma </t>
  </si>
  <si>
    <t>shikhasrma2018@gmail.com</t>
  </si>
  <si>
    <t>6307314969</t>
  </si>
  <si>
    <t>Sohrab Ansari</t>
  </si>
  <si>
    <t>sohrabp786@gmail.com</t>
  </si>
  <si>
    <t xml:space="preserve">Somnath Pathak </t>
  </si>
  <si>
    <t>snpathak2911@gmail.com</t>
  </si>
  <si>
    <t>6393552275</t>
  </si>
  <si>
    <t>Surya Pratap singh</t>
  </si>
  <si>
    <t>singhsuryapratap356@gmail.com</t>
  </si>
  <si>
    <t>6307015557</t>
  </si>
  <si>
    <t xml:space="preserve">Tabassum </t>
  </si>
  <si>
    <t>tabbu9461@gmail.com</t>
  </si>
  <si>
    <t>8931956105</t>
  </si>
  <si>
    <t>Tanishk verma</t>
  </si>
  <si>
    <t>tanishkverma99@gmail.com</t>
  </si>
  <si>
    <t>8966976957</t>
  </si>
  <si>
    <t>Tarun Singh</t>
  </si>
  <si>
    <t>tarunsingh3446@gmail.com</t>
  </si>
  <si>
    <t>7704854603</t>
  </si>
  <si>
    <t>Uday veer singh</t>
  </si>
  <si>
    <t>udayaveersingh95@gnail.com</t>
  </si>
  <si>
    <t>9690968646</t>
  </si>
  <si>
    <t xml:space="preserve">Vikas Agrahari </t>
  </si>
  <si>
    <t>vikasag44@gmail.com</t>
  </si>
  <si>
    <t>7704067588</t>
  </si>
  <si>
    <t>Vinod Rawat</t>
  </si>
  <si>
    <t>Kingbdsh786@gmail.com</t>
  </si>
  <si>
    <t>8957250382</t>
  </si>
  <si>
    <t xml:space="preserve">Vivek Dwivedi </t>
  </si>
  <si>
    <t>dwivedivivek2004@gmail.com</t>
  </si>
  <si>
    <t>9719050142</t>
  </si>
  <si>
    <t xml:space="preserve">Yogita Yadav </t>
  </si>
  <si>
    <t>yogitayadav9580@gmail.com</t>
  </si>
  <si>
    <t>Yuman Ajazi</t>
  </si>
  <si>
    <t>Yumanejazi@gmail.com</t>
  </si>
  <si>
    <t>7255918097</t>
  </si>
  <si>
    <t>Yuvraj Singh Chauhan</t>
  </si>
  <si>
    <t>official.yuvraj21@gmail.com</t>
  </si>
  <si>
    <t>7355429837</t>
  </si>
  <si>
    <t>zainul hasan</t>
  </si>
  <si>
    <t>hasanzainul7890@gmail.com</t>
  </si>
  <si>
    <t>6393705685</t>
  </si>
  <si>
    <t>Karan P Singh</t>
  </si>
  <si>
    <t>sid7karan@gmail.com</t>
  </si>
  <si>
    <t xml:space="preserve">Azeem Haidar </t>
  </si>
  <si>
    <t>8299458575</t>
  </si>
  <si>
    <t>Abhi Gautam</t>
  </si>
  <si>
    <t>Noida</t>
  </si>
  <si>
    <t>Abhijeet Pandey</t>
  </si>
  <si>
    <t>7572024272</t>
  </si>
  <si>
    <t>Abhilesh Sharma</t>
  </si>
  <si>
    <t>Abhishek vishnoi</t>
  </si>
  <si>
    <t>vishnoia726@gmail.com</t>
  </si>
  <si>
    <t>Adarash Ranjan</t>
  </si>
  <si>
    <t>Afroz</t>
  </si>
  <si>
    <t>Ajay kumar maurya</t>
  </si>
  <si>
    <t>Akash K</t>
  </si>
  <si>
    <t>7827306492</t>
  </si>
  <si>
    <t>Akash Kumar</t>
  </si>
  <si>
    <t>Aman Sheikh</t>
  </si>
  <si>
    <t>Ameesha</t>
  </si>
  <si>
    <t>7290893038</t>
  </si>
  <si>
    <t>Amit kumar</t>
  </si>
  <si>
    <t>Amit Yadav</t>
  </si>
  <si>
    <t>Anjali</t>
  </si>
  <si>
    <t>syogi4990@gmail.com</t>
  </si>
  <si>
    <t>Ankit chakraborthy</t>
  </si>
  <si>
    <t>Ankush kumar</t>
  </si>
  <si>
    <t>9625388224</t>
  </si>
  <si>
    <t>Asral Ul Haq</t>
  </si>
  <si>
    <t>7307247980</t>
  </si>
  <si>
    <t>Bharat Singh</t>
  </si>
  <si>
    <t>Chaya Rajput</t>
  </si>
  <si>
    <t>Daksh Mishra</t>
  </si>
  <si>
    <t>9310781750</t>
  </si>
  <si>
    <t>Deepak kumar</t>
  </si>
  <si>
    <t>deepakworkspacehere@gmail.com</t>
  </si>
  <si>
    <t>Deepanshu</t>
  </si>
  <si>
    <t>Deepanshu Bhandari</t>
  </si>
  <si>
    <t xml:space="preserve">Durga </t>
  </si>
  <si>
    <t>87663 13598</t>
  </si>
  <si>
    <t>Ehsan rownak</t>
  </si>
  <si>
    <t>87947 43832</t>
  </si>
  <si>
    <t>Gaurav Joshi</t>
  </si>
  <si>
    <t>gauravjoshi0003@gmail.com</t>
  </si>
  <si>
    <t>8178314756</t>
  </si>
  <si>
    <t>Gitansh Yadav</t>
  </si>
  <si>
    <t>gitansh243@gmail.com</t>
  </si>
  <si>
    <t>8800341132</t>
  </si>
  <si>
    <t>Harsh Rawat</t>
  </si>
  <si>
    <t>7982644699</t>
  </si>
  <si>
    <t>Hemant Choudhary</t>
  </si>
  <si>
    <t>Himanshu</t>
  </si>
  <si>
    <t>himanshusinghn922@gmail.com</t>
  </si>
  <si>
    <t>8076148434</t>
  </si>
  <si>
    <t>Ishika</t>
  </si>
  <si>
    <t>8076689106</t>
  </si>
  <si>
    <t>Isshan rajput</t>
  </si>
  <si>
    <t>Eshurajput221103@gmail.com</t>
  </si>
  <si>
    <t>Kajal Haldar</t>
  </si>
  <si>
    <t>7011391524</t>
  </si>
  <si>
    <t xml:space="preserve">Kamal Sharma </t>
  </si>
  <si>
    <t>Keshav</t>
  </si>
  <si>
    <t>Khushi Baliyan</t>
  </si>
  <si>
    <t>9220896931</t>
  </si>
  <si>
    <t>Kopal Goel</t>
  </si>
  <si>
    <t>kosherkopal@gmail.com</t>
  </si>
  <si>
    <t>8527884473</t>
  </si>
  <si>
    <t>Kshitij</t>
  </si>
  <si>
    <t>kshitijnagar01@gmail.com</t>
  </si>
  <si>
    <t>9773561924</t>
  </si>
  <si>
    <t>Manav Tyagi</t>
  </si>
  <si>
    <t>manavtyagiji9868@gmail.com</t>
  </si>
  <si>
    <t>9599602669</t>
  </si>
  <si>
    <t>Manish chauhan</t>
  </si>
  <si>
    <t>rajputmanish1617@gmail.com</t>
  </si>
  <si>
    <t>8826371364</t>
  </si>
  <si>
    <t>Manjeet Yadav</t>
  </si>
  <si>
    <t>ymanjeet616@gmail.com</t>
  </si>
  <si>
    <t>8595145451</t>
  </si>
  <si>
    <t>Mohit sachan</t>
  </si>
  <si>
    <t>Mohits5994@outlook.com</t>
  </si>
  <si>
    <t>7007616634</t>
  </si>
  <si>
    <t>MOHMMED FAISAL</t>
  </si>
  <si>
    <t>mohammedfaisal9718@gmail.com</t>
  </si>
  <si>
    <t>9718908602</t>
  </si>
  <si>
    <t>Nitin Kumar</t>
  </si>
  <si>
    <t>Preeti mishra</t>
  </si>
  <si>
    <t>preetmishraofficial@gmail.com</t>
  </si>
  <si>
    <t>9821198206</t>
  </si>
  <si>
    <t>prithvi khurana</t>
  </si>
  <si>
    <t>prithvikhurana36@gmail.com</t>
  </si>
  <si>
    <t>8595816196</t>
  </si>
  <si>
    <t>Pushpendra Rajput</t>
  </si>
  <si>
    <t>devendrasingh9917446089@gmail.com</t>
  </si>
  <si>
    <t>9368075549</t>
  </si>
  <si>
    <t>Rahul Kumar</t>
  </si>
  <si>
    <t>adityakumar19947@yahoo.in</t>
  </si>
  <si>
    <t>8340405224</t>
  </si>
  <si>
    <t>Rahul Yadav</t>
  </si>
  <si>
    <t>6392777878</t>
  </si>
  <si>
    <t>Rajani singh</t>
  </si>
  <si>
    <t>rajanisingh2324@gmail.com</t>
  </si>
  <si>
    <t>9873473852</t>
  </si>
  <si>
    <t>Rajnish Upadhyay</t>
  </si>
  <si>
    <t>7428838457</t>
  </si>
  <si>
    <t>raman kumar singh</t>
  </si>
  <si>
    <t>rmnkrsng00@gmail.com</t>
  </si>
  <si>
    <t>9315816731</t>
  </si>
  <si>
    <t>Raunak Oberoi</t>
  </si>
  <si>
    <t>raunakoberoi2004@gmail.com</t>
  </si>
  <si>
    <t>8178079066</t>
  </si>
  <si>
    <t>Ravi kumar</t>
  </si>
  <si>
    <t>gk3829515@gmail.com</t>
  </si>
  <si>
    <t>9599750816</t>
  </si>
  <si>
    <t>Rishi kumar</t>
  </si>
  <si>
    <t>Ritesh</t>
  </si>
  <si>
    <t>9560200296</t>
  </si>
  <si>
    <t>Ritik kumar</t>
  </si>
  <si>
    <t>Ritikkumat7999@gmail.com</t>
  </si>
  <si>
    <t>7900409022</t>
  </si>
  <si>
    <t>Rohit kumar Aggarwal</t>
  </si>
  <si>
    <t>Rohit pal</t>
  </si>
  <si>
    <t>8595105468</t>
  </si>
  <si>
    <t>Ronak Bharti</t>
  </si>
  <si>
    <t>Sahil Bansal</t>
  </si>
  <si>
    <t>sahilbansal2109@gmail.com</t>
  </si>
  <si>
    <t>9306821365</t>
  </si>
  <si>
    <t>Saqlain khan</t>
  </si>
  <si>
    <t>saqlainkhan1370@gmail.com</t>
  </si>
  <si>
    <t>9305334154</t>
  </si>
  <si>
    <t>Satish Kumar</t>
  </si>
  <si>
    <t>satishshah1000@gmail.com</t>
  </si>
  <si>
    <t>8588052558</t>
  </si>
  <si>
    <t>Shivanshu Tiwari</t>
  </si>
  <si>
    <t>9910280315</t>
  </si>
  <si>
    <t>Shrey bisht</t>
  </si>
  <si>
    <t>shreybisht21@gmail.com</t>
  </si>
  <si>
    <t>Shourya Tomar</t>
  </si>
  <si>
    <t>9873021596</t>
  </si>
  <si>
    <t>Shriyam kumar</t>
  </si>
  <si>
    <t>shriyampoddar95@gmai.com</t>
  </si>
  <si>
    <t>9334195635</t>
  </si>
  <si>
    <t>Shruti trivedi</t>
  </si>
  <si>
    <t>trvd.shruti09@gmail.com</t>
  </si>
  <si>
    <t>Shruti Yadav</t>
  </si>
  <si>
    <t>pranshi5678@gmail.com</t>
  </si>
  <si>
    <t>9120940135</t>
  </si>
  <si>
    <t>Siddharth Pandey</t>
  </si>
  <si>
    <t>siddharthpandeyoct@gmail.com</t>
  </si>
  <si>
    <t>9810318359</t>
  </si>
  <si>
    <t xml:space="preserve">Siddharth </t>
  </si>
  <si>
    <t>Sonu kumar</t>
  </si>
  <si>
    <t xml:space="preserve">Sparsh Raj </t>
  </si>
  <si>
    <t>Suraj</t>
  </si>
  <si>
    <t>Vishal Sharma</t>
  </si>
  <si>
    <t>vishalsharma5003@gmail.com</t>
  </si>
  <si>
    <t>8699198915</t>
  </si>
  <si>
    <t>Aditya raj</t>
  </si>
  <si>
    <t>rajaditya0211@gmail.com</t>
  </si>
  <si>
    <t>7209477214</t>
  </si>
  <si>
    <t>Patna</t>
  </si>
  <si>
    <t xml:space="preserve">Aditya Raj Keshri </t>
  </si>
  <si>
    <t>aadityaritikraj@gmail.com</t>
  </si>
  <si>
    <t>9693761120</t>
  </si>
  <si>
    <t>Alok Kumar</t>
  </si>
  <si>
    <t>rvalokgroup@gmail.com</t>
  </si>
  <si>
    <t>8610901066</t>
  </si>
  <si>
    <t>Amaan hassan</t>
  </si>
  <si>
    <t>amaanhassan064@gmail.com</t>
  </si>
  <si>
    <t>8271585518</t>
  </si>
  <si>
    <t>Aman Kumar</t>
  </si>
  <si>
    <t>Aman.viratian@gmail.com</t>
  </si>
  <si>
    <t>7903677124</t>
  </si>
  <si>
    <t>8709694226</t>
  </si>
  <si>
    <t>Amar Kumar</t>
  </si>
  <si>
    <t>6287700695</t>
  </si>
  <si>
    <t>Anish Bhogat</t>
  </si>
  <si>
    <t>6201725979</t>
  </si>
  <si>
    <t xml:space="preserve">Ankit Kumar </t>
  </si>
  <si>
    <t>razzankit62039@gmail.com</t>
  </si>
  <si>
    <t>8709933956</t>
  </si>
  <si>
    <t>Arnav Kumar</t>
  </si>
  <si>
    <t>arnavkr4u2008@gmail.com</t>
  </si>
  <si>
    <t>6299436220</t>
  </si>
  <si>
    <t>Atry Kumar</t>
  </si>
  <si>
    <t>7870235046</t>
  </si>
  <si>
    <t>Bablu Kumar</t>
  </si>
  <si>
    <t>8809637494</t>
  </si>
  <si>
    <t>Gaurav Kumar</t>
  </si>
  <si>
    <t>9534282664</t>
  </si>
  <si>
    <t>Himanshu Kumar</t>
  </si>
  <si>
    <t>6205371153</t>
  </si>
  <si>
    <t xml:space="preserve">Jay kishor kumar </t>
  </si>
  <si>
    <t>rajjai176@gmail.com</t>
  </si>
  <si>
    <t>9931006865</t>
  </si>
  <si>
    <t xml:space="preserve">Krishna Kant </t>
  </si>
  <si>
    <t>9521417223</t>
  </si>
  <si>
    <t>krishna kumar</t>
  </si>
  <si>
    <t>krishna.tech101@gmail.com</t>
  </si>
  <si>
    <t>9693960070</t>
  </si>
  <si>
    <t xml:space="preserve">KSHITIJ KUMAR </t>
  </si>
  <si>
    <t>kshitij0014kumar005@gmail.com</t>
  </si>
  <si>
    <t>6206538016</t>
  </si>
  <si>
    <t>Kumkum Rai</t>
  </si>
  <si>
    <t>kumu.genmish@gmail.com</t>
  </si>
  <si>
    <t>8340693535</t>
  </si>
  <si>
    <t>Kushi kumari</t>
  </si>
  <si>
    <t>9142399585</t>
  </si>
  <si>
    <t>Mausain</t>
  </si>
  <si>
    <t>8002465230</t>
  </si>
  <si>
    <t>MoniKa Kumari</t>
  </si>
  <si>
    <t>8579855396</t>
  </si>
  <si>
    <t>Mukesh Rai</t>
  </si>
  <si>
    <t>8083197626</t>
  </si>
  <si>
    <t>Mushkan Kumari</t>
  </si>
  <si>
    <t xml:space="preserve">Prabhat Kumar </t>
  </si>
  <si>
    <t>krishnaprabhat62@gmail.com</t>
  </si>
  <si>
    <t>6299389679</t>
  </si>
  <si>
    <t xml:space="preserve">Pranav Raj Vardhan </t>
  </si>
  <si>
    <t>pranav993410@gmail.com</t>
  </si>
  <si>
    <t>7903827632</t>
  </si>
  <si>
    <t>Priti Kumari</t>
  </si>
  <si>
    <t>9279608301</t>
  </si>
  <si>
    <t>Putul Kumari</t>
  </si>
  <si>
    <t>7482089812</t>
  </si>
  <si>
    <t>Rakhi Kumari</t>
  </si>
  <si>
    <t>6205941856</t>
  </si>
  <si>
    <t xml:space="preserve">Ravi Kumar </t>
  </si>
  <si>
    <t>ravi.bestt1011@gmail.com</t>
  </si>
  <si>
    <t>7542043048</t>
  </si>
  <si>
    <t>Rishav Dev</t>
  </si>
  <si>
    <t>7870511337</t>
  </si>
  <si>
    <t xml:space="preserve">Rupesh Kumar </t>
  </si>
  <si>
    <t>mehtarupesh178@gmail.com</t>
  </si>
  <si>
    <t>7870977122</t>
  </si>
  <si>
    <t>Sabhyata jaiswal</t>
  </si>
  <si>
    <t>6207387625</t>
  </si>
  <si>
    <t>Sandeep kashap</t>
  </si>
  <si>
    <t>Sandeep01122005@gmail.com</t>
  </si>
  <si>
    <t>8252809344</t>
  </si>
  <si>
    <t>Sanjeev Kumar</t>
  </si>
  <si>
    <t>8651536579</t>
  </si>
  <si>
    <t>Shahyan Siddiqui</t>
  </si>
  <si>
    <t>shahyansidd.19@gmail.com</t>
  </si>
  <si>
    <t>8127784091</t>
  </si>
  <si>
    <t>Shivam kumar</t>
  </si>
  <si>
    <t>shivamkumar27500@gmail.com</t>
  </si>
  <si>
    <t>7279965675</t>
  </si>
  <si>
    <t xml:space="preserve">Shreya Barman </t>
  </si>
  <si>
    <t>barmanshreya53@gmail.com</t>
  </si>
  <si>
    <t>9199643060</t>
  </si>
  <si>
    <t xml:space="preserve">Sonu Kumar </t>
  </si>
  <si>
    <t>sonukr797065@gmail.com</t>
  </si>
  <si>
    <t>8002213969</t>
  </si>
  <si>
    <t>Sonu Kumar Bharti</t>
  </si>
  <si>
    <t>9905559315</t>
  </si>
  <si>
    <t xml:space="preserve">Syed abu zahid </t>
  </si>
  <si>
    <t>Syedabuzahid3@gmail.com</t>
  </si>
  <si>
    <t>7543019184</t>
  </si>
  <si>
    <t>Uttkarsh Kumar</t>
  </si>
  <si>
    <t>9122408320</t>
  </si>
  <si>
    <t>Hemant Kumar</t>
  </si>
  <si>
    <t>Aakash jain</t>
  </si>
  <si>
    <t>Jainaakash4747@gmail.com</t>
  </si>
  <si>
    <t>8010894151</t>
  </si>
  <si>
    <t>Pune</t>
  </si>
  <si>
    <t>Abhishek Mishra</t>
  </si>
  <si>
    <t>abhhishek0101@gmail.com</t>
  </si>
  <si>
    <t>7309021008</t>
  </si>
  <si>
    <t xml:space="preserve">Adinath Ulhas Phanse </t>
  </si>
  <si>
    <t>Adiphanse22@gmail.com</t>
  </si>
  <si>
    <t>9067564140</t>
  </si>
  <si>
    <t xml:space="preserve">Arpit mishra </t>
  </si>
  <si>
    <t>Arpit.aim.mishra@gmail.com</t>
  </si>
  <si>
    <t>6307713212</t>
  </si>
  <si>
    <t>sushil suryawanshi</t>
  </si>
  <si>
    <t>sushilsuryawanshi50@gmail.com</t>
  </si>
  <si>
    <t>8390686997</t>
  </si>
  <si>
    <t>Owais Mirza</t>
  </si>
  <si>
    <t>Owaismirza2016@gmail.com</t>
  </si>
  <si>
    <t>7767876053</t>
  </si>
  <si>
    <t>Shruti amol Kulkarni</t>
  </si>
  <si>
    <t>shruticoolkarnee@gmail.com</t>
  </si>
  <si>
    <t>7249021250</t>
  </si>
  <si>
    <t>Pratik Angadi</t>
  </si>
  <si>
    <t>pratikangadi7@gmail.com</t>
  </si>
  <si>
    <t>9423115422</t>
  </si>
  <si>
    <t>atharva deshmukh</t>
  </si>
  <si>
    <t>Addydeshmukh3@gmail.com</t>
  </si>
  <si>
    <t>9156594197</t>
  </si>
  <si>
    <t>Pavan Patil</t>
  </si>
  <si>
    <t>patilpavan703863@gmail.com</t>
  </si>
  <si>
    <t>7038171763</t>
  </si>
  <si>
    <t xml:space="preserve"> Aditya</t>
  </si>
  <si>
    <t>adityamhase7766@gmail.com</t>
  </si>
  <si>
    <t>7774908734</t>
  </si>
  <si>
    <t>sangita hatwalne</t>
  </si>
  <si>
    <t>vimalhatvalane@gmail.com</t>
  </si>
  <si>
    <t>7499532623</t>
  </si>
  <si>
    <t>Ashfaq</t>
  </si>
  <si>
    <t>aspakmallabadi888@gmail.com</t>
  </si>
  <si>
    <t>9110256921</t>
  </si>
  <si>
    <t>Hemanth</t>
  </si>
  <si>
    <t>hemantwakode99@gmail.com</t>
  </si>
  <si>
    <t>8390162237</t>
  </si>
  <si>
    <t>Abhishek kumar</t>
  </si>
  <si>
    <t>abhishek2chakand@gmail.com</t>
  </si>
  <si>
    <t>Gurugram</t>
  </si>
  <si>
    <t>Amreen Iqbal</t>
  </si>
  <si>
    <t>areemaiqbal2004@gmail.com</t>
  </si>
  <si>
    <t>Amrita prasar</t>
  </si>
  <si>
    <t>princessamrita001@gmail.com</t>
  </si>
  <si>
    <t xml:space="preserve">Anurag kumar pal </t>
  </si>
  <si>
    <t>anuragpal490@gmail.com</t>
  </si>
  <si>
    <t>Ashish kashyap</t>
  </si>
  <si>
    <t>signatureashish@yahoo.com</t>
  </si>
  <si>
    <t>Ayesha</t>
  </si>
  <si>
    <t>ayesha.singh760@gmail.com</t>
  </si>
  <si>
    <t xml:space="preserve">Bhagwan Pal </t>
  </si>
  <si>
    <t>bhagwanpal111@gmail.com</t>
  </si>
  <si>
    <t xml:space="preserve">Deepanshi </t>
  </si>
  <si>
    <t>deepanshibhatia654@gmail.com</t>
  </si>
  <si>
    <t>Devashish Soni</t>
  </si>
  <si>
    <t>97devashish@gmail.com</t>
  </si>
  <si>
    <t>Keerti Kaushik</t>
  </si>
  <si>
    <t>cakeertikaushik187@gmail.com</t>
  </si>
  <si>
    <t xml:space="preserve">Nikita Bhatnagar </t>
  </si>
  <si>
    <t>nikitabhatnagar.april@gmail.com</t>
  </si>
  <si>
    <t>Priyanka rani</t>
  </si>
  <si>
    <t>bidhuripriyanka6666@gmail.com</t>
  </si>
  <si>
    <t xml:space="preserve">Rajat Singh </t>
  </si>
  <si>
    <t>rajatsinghakki@gmail.com</t>
  </si>
  <si>
    <t xml:space="preserve">Ritik	</t>
  </si>
  <si>
    <t>angraritik30@gmail.com</t>
  </si>
  <si>
    <t>Ritika</t>
  </si>
  <si>
    <t>ritikathakran024@gmail.com</t>
  </si>
  <si>
    <t xml:space="preserve">Sachin Kumar </t>
  </si>
  <si>
    <t>sachinsaankritya77@gmail.com</t>
  </si>
  <si>
    <t xml:space="preserve">Saurabh Kumar </t>
  </si>
  <si>
    <t>souravkumar9010@gmail.com</t>
  </si>
  <si>
    <t>infosaur02@gmail.com</t>
  </si>
  <si>
    <t xml:space="preserve">Simran Chauhan </t>
  </si>
  <si>
    <t>Schauhans3808@gmail.com</t>
  </si>
  <si>
    <t>Yashika Yadav</t>
  </si>
  <si>
    <t>yadavyashika95@gmail.com</t>
  </si>
  <si>
    <t xml:space="preserve">Aayush Dane </t>
  </si>
  <si>
    <t>aayushdane22@gmail.com</t>
  </si>
  <si>
    <t xml:space="preserve">Aayush Yadav </t>
  </si>
  <si>
    <t>yadavaayush29@gmail.com</t>
  </si>
  <si>
    <t>Adarsh Garg</t>
  </si>
  <si>
    <t>adarshgarg241@gmail.com</t>
  </si>
  <si>
    <t xml:space="preserve">Aditya S Singh </t>
  </si>
  <si>
    <t>singhaditya4276@gmail.com</t>
  </si>
  <si>
    <t>Aditya Shrivastava</t>
  </si>
  <si>
    <t>adityashrivastava22nov@gmail.com</t>
  </si>
  <si>
    <t>Aniket Mishra</t>
  </si>
  <si>
    <t>aniketmishra4643@gmail.com</t>
  </si>
  <si>
    <t xml:space="preserve">Anirudh Singh Rajput </t>
  </si>
  <si>
    <t>rudh.rajput02@gmail.com</t>
  </si>
  <si>
    <t>Anshul Patidar</t>
  </si>
  <si>
    <t>patidaranshul112@gmail.com</t>
  </si>
  <si>
    <t>Dhruv Nandan Upadhyay</t>
  </si>
  <si>
    <t>dhruvnandan8@gmail.com</t>
  </si>
  <si>
    <t>Kartik Singh</t>
  </si>
  <si>
    <t>Kartiksingh1588@gmail.com</t>
  </si>
  <si>
    <t>Kartik Singh Baghel</t>
  </si>
  <si>
    <t>kartikbaghel631@gmail.com</t>
  </si>
  <si>
    <t>Krishna Singh</t>
  </si>
  <si>
    <t xml:space="preserve">Pratyush Nagar </t>
  </si>
  <si>
    <t>Pratyushnagar750@gmail.com</t>
  </si>
  <si>
    <t>Rajat Yadav</t>
  </si>
  <si>
    <t>rajat99awesome@gmail.com</t>
  </si>
  <si>
    <t>Ritik Singh Thakur</t>
  </si>
  <si>
    <t>thakurritik176@gmail.com</t>
  </si>
  <si>
    <t>Sachin Solanki</t>
  </si>
  <si>
    <t>sachinss14312@gmail.com</t>
  </si>
  <si>
    <t>Sajjan Patel</t>
  </si>
  <si>
    <t>sajjanpatel635@gmail.com</t>
  </si>
  <si>
    <t>Saras Jain</t>
  </si>
  <si>
    <t>sarasjain60@gmail.com</t>
  </si>
  <si>
    <t xml:space="preserve">Shrashti Masheshwari </t>
  </si>
  <si>
    <t>Shrastimaheshwari52@gmail.com</t>
  </si>
  <si>
    <t xml:space="preserve">Shruti </t>
  </si>
  <si>
    <t>shrutishrivastava2103@gmail.com</t>
  </si>
  <si>
    <t xml:space="preserve">Siddharth Yadav </t>
  </si>
  <si>
    <t>siddharthyadav65784@gmail.com</t>
  </si>
  <si>
    <t xml:space="preserve">Smriti Soni </t>
  </si>
  <si>
    <t>smritisoni04@gmail.com</t>
  </si>
  <si>
    <t>Tanishka Khatri</t>
  </si>
  <si>
    <t>tanishkakhatri20@gmail.com</t>
  </si>
  <si>
    <t>Tarun Verma</t>
  </si>
  <si>
    <t>tarunverma8804@gmail.com</t>
  </si>
  <si>
    <t>Vaishnavi Shukla</t>
  </si>
  <si>
    <t>shuklavaishnavi1601@gmail.com</t>
  </si>
  <si>
    <t>Vanshika Piplodiya</t>
  </si>
  <si>
    <t>vanshikapiplodiya@g,ail.com</t>
  </si>
  <si>
    <t>Yashika Malviya</t>
  </si>
  <si>
    <t>yashikamalviya801@gmail.com</t>
  </si>
  <si>
    <t>Yashraj Sharma</t>
  </si>
  <si>
    <t>yashrajsharma937@gmail.com</t>
  </si>
  <si>
    <t>Registered Mobile</t>
  </si>
  <si>
    <t>Center Name</t>
  </si>
  <si>
    <t>TA Name</t>
  </si>
  <si>
    <t>Heramb Jha</t>
  </si>
  <si>
    <t>jhas202282@gmail.com</t>
  </si>
  <si>
    <t>Bangalore</t>
  </si>
  <si>
    <t>Raj Sah</t>
  </si>
  <si>
    <t>Sumit Mishra</t>
  </si>
  <si>
    <t>sumitmishraa.business@gmail.com</t>
  </si>
  <si>
    <t>Rohan Vats</t>
  </si>
  <si>
    <t>rohanvats2020@gmail.com</t>
  </si>
  <si>
    <t>Furqan</t>
  </si>
  <si>
    <t>99163 46376</t>
  </si>
  <si>
    <t>Chayan Sharma</t>
  </si>
  <si>
    <t>sharmachayan436@gmail.com</t>
  </si>
  <si>
    <t>Laxmi Nishad</t>
  </si>
  <si>
    <t>Saddam Hussain</t>
  </si>
  <si>
    <t>saddamjawed1914@gmail.com</t>
  </si>
  <si>
    <t>tanishq parmar</t>
  </si>
  <si>
    <t>Rishabh Jhade</t>
  </si>
  <si>
    <t>rishabhjhade060@gmail.com</t>
  </si>
  <si>
    <t>Chanchal Dhakad</t>
  </si>
  <si>
    <t>chanchaldhakad37@gmail.com</t>
  </si>
  <si>
    <t>Akash rajak</t>
  </si>
  <si>
    <t>akashrajak2457@gmail.com</t>
  </si>
  <si>
    <t>Aditya Gupta</t>
  </si>
  <si>
    <t>Guptaadityaa009@gmail.com</t>
  </si>
  <si>
    <t>Somesh</t>
  </si>
  <si>
    <t>Shivam</t>
  </si>
  <si>
    <t>shivamnamdeoofficial@gmail.com</t>
  </si>
  <si>
    <t>Pankaj kumar Sahu</t>
  </si>
  <si>
    <t>ps616283goal1@gmail.com</t>
  </si>
  <si>
    <t>Prabhat Sharma</t>
  </si>
  <si>
    <t>createyourownyr@gmail.com</t>
  </si>
  <si>
    <t xml:space="preserve"> Vandana Patidar </t>
  </si>
  <si>
    <t>vvandanapatidar992@gmail.com</t>
  </si>
  <si>
    <t>Hassan Abbasi</t>
  </si>
  <si>
    <t>abbasih84@gmail.com</t>
  </si>
  <si>
    <t>Vaibhav Tripathi</t>
  </si>
  <si>
    <t>Jaish Ahmad</t>
  </si>
  <si>
    <t>jaishahmad2@gmail.com</t>
  </si>
  <si>
    <t>Asba Mahfooz</t>
  </si>
  <si>
    <t>asbamahfooz12@gmail.com</t>
  </si>
  <si>
    <t>Gopal Rai</t>
  </si>
  <si>
    <t>gopalrai841898@gmail.com</t>
  </si>
  <si>
    <t>Himanshu Dubey</t>
  </si>
  <si>
    <t>hackerhimanshudubey7778@gmail.com</t>
  </si>
  <si>
    <t>ALOK MAURYA</t>
  </si>
  <si>
    <t>alokmaurya1320@gmail.com</t>
  </si>
  <si>
    <t>Amresh</t>
  </si>
  <si>
    <t>yadavamresh4129@gmail.com</t>
  </si>
  <si>
    <t>RAUNAK PRATAP SINGH</t>
  </si>
  <si>
    <t>raunakpratap1997@gmail.com</t>
  </si>
  <si>
    <t>HIMANSHU DUBEY</t>
  </si>
  <si>
    <t>himanshu.dubeyy7@gmail.com</t>
  </si>
  <si>
    <t>priyansh Srivastav</t>
  </si>
  <si>
    <t>priyanshsrivastav2006@gmail.com</t>
  </si>
  <si>
    <t>Anand Kumar</t>
  </si>
  <si>
    <t>ay7769006@gmail.com</t>
  </si>
  <si>
    <t>Abhishek yadav</t>
  </si>
  <si>
    <t>abhisheky0718@gmail.com</t>
  </si>
  <si>
    <t>Anubhav Tiwari</t>
  </si>
  <si>
    <t>NA</t>
  </si>
  <si>
    <t xml:space="preserve">Mohammad Atif </t>
  </si>
  <si>
    <t>atifmah001@gmail.com</t>
  </si>
  <si>
    <t>Priyanshu Singh</t>
  </si>
  <si>
    <t>24227514010225@paruluniversity.ac.in</t>
  </si>
  <si>
    <t xml:space="preserve">Saurabh </t>
  </si>
  <si>
    <t>saurabh22102@gmail.com</t>
  </si>
  <si>
    <t>Himanshu Yadav</t>
  </si>
  <si>
    <t xml:space="preserve"> thehimanshu.yadav7289@gmail.com</t>
  </si>
  <si>
    <t>Himanshi Shakya</t>
  </si>
  <si>
    <t>himanshishakya21@gmail.com</t>
  </si>
  <si>
    <t>Anurag Arora</t>
  </si>
  <si>
    <t>anurag.arora0810@gmail.com</t>
  </si>
  <si>
    <t>Abhishek Kumar</t>
  </si>
  <si>
    <t>abhishekkumar620530@gmail.com</t>
  </si>
  <si>
    <t>Saquib Hasnain</t>
  </si>
  <si>
    <t>Keshav Kumar</t>
  </si>
  <si>
    <t>keshav2007kk@gmail.com</t>
  </si>
  <si>
    <t>Shreshth Gupt</t>
  </si>
  <si>
    <t>shreshthgupt@gmail.com</t>
  </si>
  <si>
    <t>Kshitij Tiwari</t>
  </si>
  <si>
    <t>kshitijtiwari503@gmail.com</t>
  </si>
  <si>
    <t>Sabique Khan</t>
  </si>
  <si>
    <t>sabiquekhan1234@gmail.com</t>
  </si>
  <si>
    <t>Suraj Kumar (Rana)</t>
  </si>
  <si>
    <t>surajranna01@gmail.com</t>
  </si>
  <si>
    <t>Vicky raj</t>
  </si>
  <si>
    <t>raj98215@gmail.com</t>
  </si>
  <si>
    <t>ABHISHEK KUMAR MISHRA</t>
  </si>
  <si>
    <t>akiabhisheku@gmail.com</t>
  </si>
  <si>
    <t>Ajmer Ali</t>
  </si>
  <si>
    <t>aliajmer701@gmail.com</t>
  </si>
  <si>
    <t>Aditya Prakash</t>
  </si>
  <si>
    <t>adityaprakash112233@gmail.com</t>
  </si>
  <si>
    <t>Aman</t>
  </si>
  <si>
    <t>amankumarveer98@gmail.com</t>
  </si>
  <si>
    <t>Gourav</t>
  </si>
  <si>
    <t>Neeraj Bisht</t>
  </si>
  <si>
    <t>neerajbjsht2000@gmail.com</t>
  </si>
  <si>
    <t>MAHAVEER</t>
  </si>
  <si>
    <t>m21851696@gmail.com</t>
  </si>
  <si>
    <t>Pratyaksh</t>
  </si>
  <si>
    <t>pratyakshbaudha071@gmail.com</t>
  </si>
  <si>
    <t>Sudhanshu Pandey</t>
  </si>
  <si>
    <t>spsudhanshu99@gmail.com</t>
  </si>
  <si>
    <t>Harsh vardhan Dubey</t>
  </si>
  <si>
    <t>harsh.dubey.1122@gmail.com</t>
  </si>
  <si>
    <t>Rohit Kumar</t>
  </si>
  <si>
    <t>rohitkumar142000@gmail.com</t>
  </si>
  <si>
    <t>Aryan saini</t>
  </si>
  <si>
    <t>aryansaini9811@gmail.com</t>
  </si>
  <si>
    <t>Harshdeep</t>
  </si>
  <si>
    <t>harshdeeprajput289@gmail.com</t>
  </si>
  <si>
    <t>Nitish Kumar</t>
  </si>
  <si>
    <t>byahutnitish1222@gmail.com</t>
  </si>
  <si>
    <t>Romit Raj</t>
  </si>
  <si>
    <t>romit1644@gmail.com</t>
  </si>
  <si>
    <t>Govind Kumar</t>
  </si>
  <si>
    <t>gk8744826449@gmail.com</t>
  </si>
  <si>
    <t>Manav Sharma</t>
  </si>
  <si>
    <t>Sharmamanav595@gmail.com</t>
  </si>
  <si>
    <t>Sumit Kr Prajapati</t>
  </si>
  <si>
    <t>prajapatisumit7634@gmaqil.com</t>
  </si>
  <si>
    <t>Ankit</t>
  </si>
  <si>
    <t>99734 47818</t>
  </si>
  <si>
    <t>raiankit28283@gmail.com</t>
  </si>
  <si>
    <t>Dewansh Pandey</t>
  </si>
  <si>
    <t>dewanshpandeydev@gmail.com</t>
  </si>
  <si>
    <t>gauravks704@gmail.com</t>
  </si>
  <si>
    <t>Vidya Sagar</t>
  </si>
  <si>
    <t>Ayaan Shoaib</t>
  </si>
  <si>
    <t>ayaanshoaibkne18@gmail.com</t>
  </si>
  <si>
    <t>Vishal Kumar</t>
  </si>
  <si>
    <t>mr.vk754@gmail.com</t>
  </si>
  <si>
    <t xml:space="preserve">Ansh chauhan </t>
  </si>
  <si>
    <t>anansh1415@gmail.com</t>
  </si>
  <si>
    <t xml:space="preserve">Md Sajid </t>
  </si>
  <si>
    <t>mdsajid0648@gmail.com</t>
  </si>
  <si>
    <t>Vikky Kumar</t>
  </si>
  <si>
    <t>vk2353271@gmail.com</t>
  </si>
  <si>
    <t>Md Sahil</t>
  </si>
  <si>
    <t>smd882781@gmail.com</t>
  </si>
  <si>
    <t xml:space="preserve">Sunny Roy </t>
  </si>
  <si>
    <t>sunnyroy1819@gmail.com</t>
  </si>
  <si>
    <t>Himanshu Singh</t>
  </si>
  <si>
    <t>himanshu.iitp@gmail.com</t>
  </si>
  <si>
    <t>Monu Chaudhari</t>
  </si>
  <si>
    <t>7781001061/9065121013</t>
  </si>
  <si>
    <t>kumarsonugazipur3@gmail.com/monukumarchaudhari203@gmail.com</t>
  </si>
  <si>
    <t>Vikash Kumar</t>
  </si>
  <si>
    <t>8083933262/7903089384</t>
  </si>
  <si>
    <t>devloper79799@gmail.com</t>
  </si>
  <si>
    <t>Yasser Shaikh</t>
  </si>
  <si>
    <t>shaikhyasserr21@gmail.com</t>
  </si>
  <si>
    <t>Ajay Dewangan</t>
  </si>
  <si>
    <t>Praveenkumar Yalawar</t>
  </si>
  <si>
    <t>praveenreddyyalawar@gmail.com</t>
  </si>
  <si>
    <t>Jay Patel</t>
  </si>
  <si>
    <t>jay03pat@gmail.com</t>
  </si>
  <si>
    <t>Darshan Rajesh Marodkar</t>
  </si>
  <si>
    <t>darshanmarodkar36@gmail.com</t>
  </si>
  <si>
    <t>Krushna</t>
  </si>
  <si>
    <t>95797 61423</t>
  </si>
  <si>
    <t>krishgayke2112@gmail.com</t>
  </si>
  <si>
    <t>Ayush</t>
  </si>
  <si>
    <t>singhalaayush1450@gmail.com</t>
  </si>
  <si>
    <t>Asgar Ali</t>
  </si>
  <si>
    <t>Yet to find</t>
  </si>
  <si>
    <t>Ninad sutar</t>
  </si>
  <si>
    <t>ninadsutar26@gmail.com</t>
  </si>
  <si>
    <t>Vikash Singh Rathore</t>
  </si>
  <si>
    <t>vikashrathore98889@gmail.com</t>
  </si>
  <si>
    <t>Mohd Arsalan</t>
  </si>
  <si>
    <t>ak863361@gmail.com</t>
  </si>
  <si>
    <t>MD Shams Naqvi</t>
  </si>
  <si>
    <t>Mrnaqvi17@gmail.com</t>
  </si>
  <si>
    <t>Vishnu</t>
  </si>
  <si>
    <t>vishnu893030@gmail.com</t>
  </si>
  <si>
    <t>Mohammed ameen</t>
  </si>
  <si>
    <t>Divyanshu</t>
  </si>
  <si>
    <t>binnusingh1435@gmail.com</t>
  </si>
  <si>
    <t>Sandeep AS</t>
  </si>
  <si>
    <t>sandeepas2001@gmail.com</t>
  </si>
  <si>
    <t>Fenil patel</t>
  </si>
  <si>
    <t>fenil19503@gmail.com</t>
  </si>
  <si>
    <t>Mohit Chouhan</t>
  </si>
  <si>
    <t>mohitrajput2112@gmail.com</t>
  </si>
  <si>
    <t>Siddharth Singh</t>
  </si>
  <si>
    <t>mpca100@gmail.com</t>
  </si>
  <si>
    <t>Sanjay Rajak</t>
  </si>
  <si>
    <t>04sanjay2003@gmail.com</t>
  </si>
  <si>
    <t>Kartik Pawar</t>
  </si>
  <si>
    <t>Kartikrajput967@gmail.com</t>
  </si>
  <si>
    <t>Suhani Tiwari</t>
  </si>
  <si>
    <t>suhanitiwari205@gmail.com</t>
  </si>
  <si>
    <t>Ashi khare</t>
  </si>
  <si>
    <t>aashikhare2000@gmail.com</t>
  </si>
  <si>
    <t xml:space="preserve">Aastika </t>
  </si>
  <si>
    <t>aastikaparmar16@gmail.com</t>
  </si>
  <si>
    <t>Ayush bisen</t>
  </si>
  <si>
    <t>ayushbisen19@gmail.com</t>
  </si>
  <si>
    <t>Nikhil prajapat</t>
  </si>
  <si>
    <t>prajapatnikhil290@gmail.com</t>
  </si>
  <si>
    <t>indore</t>
  </si>
  <si>
    <t>Tanishk Dwivedi</t>
  </si>
  <si>
    <t>dwiveditanishkdsc@gmail.com</t>
  </si>
  <si>
    <t>Danish Akhtar</t>
  </si>
  <si>
    <t>akhtardanish@gmail.com</t>
  </si>
  <si>
    <t>Tanu Maurya</t>
  </si>
  <si>
    <t>mauryatanu550@gmail.com</t>
  </si>
  <si>
    <t>Juhi</t>
  </si>
  <si>
    <t>Juhisinha72860@gmail.com</t>
  </si>
  <si>
    <t>Ayush Gupta</t>
  </si>
  <si>
    <t>ayushapp556@gmail.com</t>
  </si>
  <si>
    <t>Mohit Singh Bora</t>
  </si>
  <si>
    <t>m2bmohitsinghbora13012@gmail.com</t>
  </si>
  <si>
    <t>Shreyansh</t>
  </si>
  <si>
    <t>shreyanshsharma678@gmail.com</t>
  </si>
  <si>
    <t>Danish Khan</t>
  </si>
  <si>
    <t>dckhaniimt@gmail.com</t>
  </si>
  <si>
    <t>Abhishek Pal</t>
  </si>
  <si>
    <t>pal781356@gmail.com</t>
  </si>
  <si>
    <t>Sankalp Singh</t>
  </si>
  <si>
    <t>Sankalpsinghpatharia13@gmail.com</t>
  </si>
  <si>
    <t>Sushant Narayan</t>
  </si>
  <si>
    <t>Sushantshrivastav123@gmail.com</t>
  </si>
  <si>
    <t>Saurabh Singh</t>
  </si>
  <si>
    <t>s67083844@gmail.com</t>
  </si>
  <si>
    <t>Baiju Yadav</t>
  </si>
  <si>
    <t>yadavbaiju2005@gmail.com</t>
  </si>
  <si>
    <t>Aditi</t>
  </si>
  <si>
    <t>aditisuchi11@gmail.com</t>
  </si>
  <si>
    <t>Tripti Kumari</t>
  </si>
  <si>
    <t>kumaritripti46@gmail.com</t>
  </si>
  <si>
    <t xml:space="preserve">Himanshu Gautam </t>
  </si>
  <si>
    <t>himanshupwskills16@gmail.com</t>
  </si>
  <si>
    <t>Harshit Singh</t>
  </si>
  <si>
    <t>harshu75000@gmail.com</t>
  </si>
  <si>
    <t>Ashwani Kumar</t>
  </si>
  <si>
    <t>sagarashwani7@gmail.com</t>
  </si>
  <si>
    <t>Anmol Mishra</t>
  </si>
  <si>
    <t>anmolmishra12103@gmail.com</t>
  </si>
  <si>
    <t>Akshit Khanna</t>
  </si>
  <si>
    <t>Akshitkhanna121@gmail.com</t>
  </si>
  <si>
    <t>Abhishek Singh</t>
  </si>
  <si>
    <t>abhisheksingh1289@icloud.com</t>
  </si>
  <si>
    <t xml:space="preserve">Abhishek Chauhan </t>
  </si>
  <si>
    <t>abhishek000chauhan01@gmail.com</t>
  </si>
  <si>
    <t xml:space="preserve">Nikhil Kumar </t>
  </si>
  <si>
    <t>nikhil228180@gmail.com</t>
  </si>
  <si>
    <t>Amit Kumar</t>
  </si>
  <si>
    <t>ksvmamitt@gmail.com</t>
  </si>
  <si>
    <t>gauravk802119@gmail.com</t>
  </si>
  <si>
    <t>Harsh kumar Rai</t>
  </si>
  <si>
    <t>harshraicmf2025@gmail.com</t>
  </si>
  <si>
    <t>Rishu Kumari</t>
  </si>
  <si>
    <t>rishusingh18227@gmail.com</t>
  </si>
  <si>
    <t>Hritik Raushan</t>
  </si>
  <si>
    <t>ambikarai8541@gmail.com</t>
  </si>
  <si>
    <t>Raj sinha</t>
  </si>
  <si>
    <t>rajsinha0221@gmail.com</t>
  </si>
  <si>
    <t>Hrishabh Roy</t>
  </si>
  <si>
    <t>royhrishabh1@gmail.com</t>
  </si>
  <si>
    <t xml:space="preserve">Aryan Anand </t>
  </si>
  <si>
    <t>aryananand9933@gmail.com</t>
  </si>
  <si>
    <t>Anikesh Kumar Gupta</t>
  </si>
  <si>
    <t>mr.akgupta173@gmail.com</t>
  </si>
  <si>
    <t>Hemant Singh</t>
  </si>
  <si>
    <t>khamant35@gmail.com</t>
  </si>
  <si>
    <t>Priyanka Bornare</t>
  </si>
  <si>
    <t>priyankabornare62@gmail.com</t>
  </si>
  <si>
    <t>Kajal Arkhade</t>
  </si>
  <si>
    <t>arkhade.kajal1998@gmail.com</t>
  </si>
  <si>
    <t>Rahul Patil</t>
  </si>
  <si>
    <t>rahulkpatil5920@gmail.com</t>
  </si>
  <si>
    <t>Deepak Surnar</t>
  </si>
  <si>
    <t>dipakasurnar@gmail.com</t>
  </si>
  <si>
    <t>Bharati Chandrashekhar</t>
  </si>
  <si>
    <t>Raju Gupta</t>
  </si>
  <si>
    <t>rg027128@gmail.com</t>
  </si>
  <si>
    <t>Abdul Moid</t>
  </si>
  <si>
    <t>Nirbhaya Kumar Rosh</t>
  </si>
  <si>
    <t>nirbhyaraush2@gmail.com</t>
  </si>
  <si>
    <t>Vishesh Garg</t>
  </si>
  <si>
    <t>gargvishesh14@gmail.com</t>
  </si>
  <si>
    <t>Mohammed Pravez Mansuri</t>
  </si>
  <si>
    <t>parwezbarkati54@gmail.com</t>
  </si>
  <si>
    <t xml:space="preserve">Saumya </t>
  </si>
  <si>
    <t>sdsaumyadwivedi@outlook.com</t>
  </si>
  <si>
    <t>ADITYA GUPTA</t>
  </si>
  <si>
    <t>MUDITT893GMAIL.COM</t>
  </si>
  <si>
    <t>ZISHAN</t>
  </si>
  <si>
    <t>ZISHAN17DE@GMAIL.COM</t>
  </si>
  <si>
    <t>DEVADITYA CHAUHAN</t>
  </si>
  <si>
    <t>ADITYACHAUHANDEV@GMAIL.COM</t>
  </si>
  <si>
    <t>Nikita Singh</t>
  </si>
  <si>
    <t>nikita958022@gmail.com</t>
  </si>
  <si>
    <t>Taqi ur Rehman Niazi</t>
  </si>
  <si>
    <t>S. Suraj Kumar Reddy</t>
  </si>
  <si>
    <t>surajkumarreddy812@gmail.com</t>
  </si>
  <si>
    <t>Mukesh Gupta</t>
  </si>
  <si>
    <t>studymaterialcseit@gmail.com</t>
  </si>
  <si>
    <t>Divyansh Verma</t>
  </si>
  <si>
    <t>divyanshverma872002@gmail.com</t>
  </si>
  <si>
    <t>Ali Raza Karimi</t>
  </si>
  <si>
    <t xml:space="preserve"> Nitesh Kumar</t>
  </si>
  <si>
    <t>serigon38522@gmail.com</t>
  </si>
  <si>
    <t>Aarti Kumari</t>
  </si>
  <si>
    <t>aartisingh221996@gmail.com</t>
  </si>
  <si>
    <t>Ojaswini shaktawad</t>
  </si>
  <si>
    <t>13ojasw@gmail.com</t>
  </si>
  <si>
    <t>Vishal Kumar Singh</t>
  </si>
  <si>
    <t>manisha rathore</t>
  </si>
  <si>
    <t>manisharathore1011@gmail.com</t>
  </si>
  <si>
    <t>fakhruddin tatiwala</t>
  </si>
  <si>
    <t>fakhruddintatiwala16@gmail.com</t>
  </si>
  <si>
    <t>pratik singh parihar</t>
  </si>
  <si>
    <t>singhpariharpratik@gmail.com</t>
  </si>
  <si>
    <t>Arnav Potdar</t>
  </si>
  <si>
    <t>arnavpotdar.25@gmail.com</t>
  </si>
  <si>
    <t>Harshita Himani</t>
  </si>
  <si>
    <t>vedant yarsam</t>
  </si>
  <si>
    <t>vedantyarsam@gmail.com</t>
  </si>
  <si>
    <t>Pankaj Bhosale</t>
  </si>
  <si>
    <t>pankajbhosale203@gmail.com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</si>
</sst>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d&quot;-&quot;mmm&quot;-&quot;yyyy"/>
    <numFmt numFmtId="166" formatCode="dd&quot;/&quot;mmm&quot;/&quot;yyyy"/>
    <numFmt numFmtId="167" formatCode="dd&quot;/&quot;mm&quot;/&quot;yyyy"/>
  </numFmts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color theme="1"/>
      <name val="Montserrat"/>
    </font>
    <font>
      <color theme="1"/>
      <name val="Montserrat"/>
    </font>
    <font/>
    <font>
      <sz val="11.0"/>
      <color rgb="FF222222"/>
      <name val="Google Sans"/>
    </font>
    <font>
      <u/>
      <color rgb="FF1155CC"/>
      <name val="Montserrat"/>
    </font>
  </fonts>
  <fills count="2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64" xfId="0" applyAlignment="1" applyFont="1" applyNumberFormat="1">
      <alignment vertical="bottom"/>
    </xf>
    <xf borderId="0" fillId="2" fontId="1" numFmtId="2" xfId="0" applyAlignment="1" applyFont="1" applyNumberFormat="1">
      <alignment vertical="bottom"/>
    </xf>
    <xf borderId="0" fillId="2" fontId="1" numFmtId="4" xfId="0" applyAlignment="1" applyFont="1" applyNumberFormat="1">
      <alignment vertical="bottom"/>
    </xf>
    <xf borderId="0" fillId="2" fontId="1" numFmtId="4" xfId="0" applyAlignment="1" applyFont="1" applyNumberFormat="1">
      <alignment horizontal="right" shrinkToFit="0" vertical="bottom" wrapText="1"/>
    </xf>
    <xf borderId="0" fillId="2" fontId="2" numFmtId="0" xfId="0" applyAlignment="1" applyFont="1">
      <alignment shrinkToFit="0" vertical="bottom" wrapText="1"/>
    </xf>
    <xf borderId="0" fillId="2" fontId="3" numFmtId="0" xfId="0" applyAlignment="1" applyFont="1">
      <alignment horizontal="center" shrinkToFit="0" vertical="bottom" wrapText="1"/>
    </xf>
    <xf borderId="0" fillId="2" fontId="2" numFmtId="2" xfId="0" applyAlignment="1" applyFont="1" applyNumberFormat="1">
      <alignment shrinkToFit="0" vertical="bottom" wrapText="1"/>
    </xf>
    <xf borderId="0" fillId="2" fontId="2" numFmtId="165" xfId="0" applyAlignment="1" applyFont="1" applyNumberFormat="1">
      <alignment horizontal="center" vertical="bottom"/>
    </xf>
    <xf borderId="0" fillId="2" fontId="2" numFmtId="164" xfId="0" applyAlignment="1" applyFont="1" applyNumberFormat="1">
      <alignment horizontal="right" shrinkToFit="0" vertical="bottom" wrapText="1"/>
    </xf>
    <xf borderId="0" fillId="2" fontId="2" numFmtId="165" xfId="0" applyAlignment="1" applyFont="1" applyNumberFormat="1">
      <alignment horizontal="center"/>
    </xf>
    <xf borderId="0" fillId="2" fontId="2" numFmtId="164" xfId="0" applyAlignment="1" applyFont="1" applyNumberFormat="1">
      <alignment shrinkToFit="0" vertical="bottom" wrapText="1"/>
    </xf>
    <xf borderId="0" fillId="2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3" fontId="1" numFmtId="0" xfId="0" applyAlignment="1" applyFill="1" applyFont="1">
      <alignment horizontal="right" shrinkToFit="0" vertical="bottom" wrapText="1"/>
    </xf>
    <xf borderId="0" fillId="4" fontId="1" numFmtId="0" xfId="0" applyAlignment="1" applyFill="1" applyFont="1">
      <alignment horizontal="right" shrinkToFit="0" vertical="bottom" wrapText="1"/>
    </xf>
    <xf borderId="0" fillId="4" fontId="1" numFmtId="10" xfId="0" applyAlignment="1" applyFont="1" applyNumberFormat="1">
      <alignment horizontal="right" shrinkToFit="0" vertical="bottom" wrapText="1"/>
    </xf>
    <xf borderId="0" fillId="5" fontId="1" numFmtId="0" xfId="0" applyAlignment="1" applyFill="1" applyFont="1">
      <alignment shrinkToFit="0" vertical="bottom" wrapText="1"/>
    </xf>
    <xf borderId="0" fillId="3" fontId="1" numFmtId="10" xfId="0" applyAlignment="1" applyFont="1" applyNumberFormat="1">
      <alignment horizontal="right" shrinkToFit="0" vertical="bottom" wrapText="1"/>
    </xf>
    <xf borderId="0" fillId="3" fontId="1" numFmtId="0" xfId="0" applyAlignment="1" applyFont="1">
      <alignment shrinkToFit="0" vertical="bottom" wrapText="1"/>
    </xf>
    <xf borderId="0" fillId="6" fontId="1" numFmtId="0" xfId="0" applyAlignment="1" applyFill="1" applyFont="1">
      <alignment shrinkToFit="0" vertical="bottom" wrapText="1"/>
    </xf>
    <xf borderId="0" fillId="6" fontId="1" numFmtId="0" xfId="0" applyAlignment="1" applyFont="1">
      <alignment horizontal="center" shrinkToFit="0" vertical="bottom" wrapText="1"/>
    </xf>
    <xf borderId="0" fillId="6" fontId="1" numFmtId="0" xfId="0" applyAlignment="1" applyFont="1">
      <alignment horizontal="right" shrinkToFit="0" vertical="bottom" wrapText="1"/>
    </xf>
    <xf borderId="0" fillId="6" fontId="1" numFmtId="0" xfId="0" applyAlignment="1" applyFont="1">
      <alignment horizontal="right" shrinkToFit="0" vertical="bottom" wrapText="1"/>
    </xf>
    <xf borderId="0" fillId="7" fontId="1" numFmtId="0" xfId="0" applyAlignment="1" applyFill="1" applyFont="1">
      <alignment horizontal="right" shrinkToFit="0" vertical="bottom" wrapText="1"/>
    </xf>
    <xf borderId="0" fillId="8" fontId="1" numFmtId="2" xfId="0" applyAlignment="1" applyFill="1" applyFont="1" applyNumberFormat="1">
      <alignment horizontal="right" shrinkToFit="0" vertical="bottom" wrapText="1"/>
    </xf>
    <xf borderId="0" fillId="6" fontId="1" numFmtId="0" xfId="0" applyAlignment="1" applyFont="1">
      <alignment vertical="bottom"/>
    </xf>
    <xf borderId="0" fillId="8" fontId="1" numFmtId="0" xfId="0" applyAlignment="1" applyFont="1">
      <alignment horizontal="right" shrinkToFit="0" vertical="bottom" wrapText="1"/>
    </xf>
    <xf borderId="0" fillId="6" fontId="1" numFmtId="0" xfId="0" applyAlignment="1" applyFont="1">
      <alignment horizontal="center" vertical="bottom"/>
    </xf>
    <xf borderId="0" fillId="6" fontId="1" numFmtId="0" xfId="0" applyAlignment="1" applyFont="1">
      <alignment horizontal="right" vertical="bottom"/>
    </xf>
    <xf borderId="0" fillId="7" fontId="1" numFmtId="2" xfId="0" applyAlignment="1" applyFont="1" applyNumberFormat="1">
      <alignment horizontal="right" shrinkToFit="0" vertical="bottom" wrapText="1"/>
    </xf>
    <xf borderId="0" fillId="9" fontId="1" numFmtId="0" xfId="0" applyAlignment="1" applyFill="1" applyFont="1">
      <alignment shrinkToFit="0" vertical="bottom" wrapText="1"/>
    </xf>
    <xf borderId="0" fillId="9" fontId="1" numFmtId="0" xfId="0" applyAlignment="1" applyFont="1">
      <alignment horizontal="center" shrinkToFit="0" vertical="bottom" wrapText="1"/>
    </xf>
    <xf borderId="0" fillId="9" fontId="1" numFmtId="0" xfId="0" applyAlignment="1" applyFont="1">
      <alignment horizontal="right" shrinkToFit="0" vertical="bottom" wrapText="1"/>
    </xf>
    <xf borderId="0" fillId="10" fontId="1" numFmtId="0" xfId="0" applyAlignment="1" applyFill="1" applyFont="1">
      <alignment horizontal="center" shrinkToFit="0" vertical="bottom" wrapText="1"/>
    </xf>
    <xf borderId="0" fillId="11" fontId="1" numFmtId="0" xfId="0" applyAlignment="1" applyFill="1" applyFont="1">
      <alignment horizontal="center" shrinkToFit="0" vertical="bottom" wrapText="1"/>
    </xf>
    <xf borderId="0" fillId="9" fontId="1" numFmtId="0" xfId="0" applyAlignment="1" applyFont="1">
      <alignment vertical="bottom"/>
    </xf>
    <xf borderId="0" fillId="0" fontId="1" numFmtId="0" xfId="0" applyFont="1"/>
    <xf borderId="0" fillId="10" fontId="3" numFmtId="0" xfId="0" applyAlignment="1" applyFont="1">
      <alignment horizontal="center" shrinkToFit="0" wrapText="1"/>
    </xf>
    <xf borderId="0" fillId="2" fontId="2" numFmtId="0" xfId="0" applyAlignment="1" applyFont="1">
      <alignment horizontal="center"/>
    </xf>
    <xf borderId="0" fillId="2" fontId="2" numFmtId="49" xfId="0" applyAlignment="1" applyFont="1" applyNumberFormat="1">
      <alignment horizontal="center"/>
    </xf>
    <xf borderId="0" fillId="2" fontId="2" numFmtId="0" xfId="0" applyAlignment="1" applyFont="1">
      <alignment horizontal="center" shrinkToFit="0" wrapText="1"/>
    </xf>
    <xf borderId="0" fillId="2" fontId="2" numFmtId="1" xfId="0" applyAlignment="1" applyFont="1" applyNumberFormat="1">
      <alignment horizontal="center" shrinkToFit="0" wrapText="1"/>
    </xf>
    <xf borderId="0" fillId="2" fontId="1" numFmtId="0" xfId="0" applyFont="1"/>
    <xf borderId="0" fillId="12" fontId="1" numFmtId="0" xfId="0" applyAlignment="1" applyFill="1" applyFont="1">
      <alignment vertical="bottom"/>
    </xf>
    <xf borderId="0" fillId="12" fontId="1" numFmtId="49" xfId="0" applyAlignment="1" applyFont="1" applyNumberFormat="1">
      <alignment horizontal="center" vertical="bottom"/>
    </xf>
    <xf borderId="0" fillId="12" fontId="1" numFmtId="0" xfId="0" applyAlignment="1" applyFont="1">
      <alignment horizontal="center" shrinkToFit="0" vertical="bottom" wrapText="1"/>
    </xf>
    <xf borderId="0" fillId="13" fontId="1" numFmtId="1" xfId="0" applyAlignment="1" applyFill="1" applyFont="1" applyNumberFormat="1">
      <alignment horizontal="center" shrinkToFit="0" vertical="bottom" wrapText="1"/>
    </xf>
    <xf borderId="0" fillId="12" fontId="1" numFmtId="0" xfId="0" applyAlignment="1" applyFont="1">
      <alignment horizontal="center"/>
    </xf>
    <xf borderId="0" fillId="12" fontId="1" numFmtId="0" xfId="0" applyAlignment="1" applyFont="1">
      <alignment horizontal="right" vertical="bottom"/>
    </xf>
    <xf borderId="0" fillId="14" fontId="1" numFmtId="1" xfId="0" applyAlignment="1" applyFill="1" applyFont="1" applyNumberFormat="1">
      <alignment horizontal="center" shrinkToFit="0" vertical="bottom" wrapText="1"/>
    </xf>
    <xf borderId="0" fillId="12" fontId="1" numFmtId="0" xfId="0" applyFont="1"/>
    <xf borderId="0" fillId="9" fontId="1" numFmtId="49" xfId="0" applyAlignment="1" applyFont="1" applyNumberFormat="1">
      <alignment horizontal="center" vertical="bottom"/>
    </xf>
    <xf borderId="0" fillId="9" fontId="1" numFmtId="0" xfId="0" applyAlignment="1" applyFont="1">
      <alignment horizontal="center"/>
    </xf>
    <xf borderId="0" fillId="9" fontId="1" numFmtId="0" xfId="0" applyAlignment="1" applyFont="1">
      <alignment horizontal="center" vertical="bottom"/>
    </xf>
    <xf borderId="0" fillId="15" fontId="1" numFmtId="0" xfId="0" applyAlignment="1" applyFill="1" applyFont="1">
      <alignment vertical="bottom"/>
    </xf>
    <xf borderId="0" fillId="15" fontId="1" numFmtId="0" xfId="0" applyAlignment="1" applyFont="1">
      <alignment horizontal="center" vertical="bottom"/>
    </xf>
    <xf borderId="0" fillId="15" fontId="1" numFmtId="0" xfId="0" applyAlignment="1" applyFont="1">
      <alignment horizontal="center" shrinkToFit="0" vertical="bottom" wrapText="1"/>
    </xf>
    <xf borderId="0" fillId="15" fontId="1" numFmtId="0" xfId="0" applyAlignment="1" applyFont="1">
      <alignment horizontal="center"/>
    </xf>
    <xf borderId="0" fillId="15" fontId="1" numFmtId="49" xfId="0" applyAlignment="1" applyFont="1" applyNumberFormat="1">
      <alignment horizontal="center" vertical="bottom"/>
    </xf>
    <xf borderId="0" fillId="16" fontId="1" numFmtId="0" xfId="0" applyAlignment="1" applyFill="1" applyFont="1">
      <alignment vertical="bottom"/>
    </xf>
    <xf borderId="0" fillId="16" fontId="1" numFmtId="0" xfId="0" applyAlignment="1" applyFont="1">
      <alignment horizontal="center" vertical="bottom"/>
    </xf>
    <xf borderId="0" fillId="16" fontId="1" numFmtId="0" xfId="0" applyAlignment="1" applyFont="1">
      <alignment horizontal="center" shrinkToFit="0" vertical="bottom" wrapText="1"/>
    </xf>
    <xf borderId="0" fillId="16" fontId="1" numFmtId="0" xfId="0" applyAlignment="1" applyFont="1">
      <alignment horizontal="center"/>
    </xf>
    <xf borderId="0" fillId="16" fontId="1" numFmtId="0" xfId="0" applyAlignment="1" applyFont="1">
      <alignment horizontal="right" vertical="bottom"/>
    </xf>
    <xf borderId="0" fillId="17" fontId="1" numFmtId="0" xfId="0" applyAlignment="1" applyFill="1" applyFont="1">
      <alignment vertical="bottom"/>
    </xf>
    <xf borderId="0" fillId="17" fontId="1" numFmtId="0" xfId="0" applyAlignment="1" applyFont="1">
      <alignment horizontal="center" vertical="bottom"/>
    </xf>
    <xf borderId="0" fillId="17" fontId="1" numFmtId="0" xfId="0" applyAlignment="1" applyFont="1">
      <alignment horizontal="center"/>
    </xf>
    <xf borderId="0" fillId="18" fontId="1" numFmtId="0" xfId="0" applyAlignment="1" applyFill="1" applyFont="1">
      <alignment vertical="bottom"/>
    </xf>
    <xf borderId="0" fillId="18" fontId="1" numFmtId="0" xfId="0" applyAlignment="1" applyFont="1">
      <alignment horizontal="center" vertical="bottom"/>
    </xf>
    <xf borderId="0" fillId="18" fontId="1" numFmtId="0" xfId="0" applyAlignment="1" applyFont="1">
      <alignment horizontal="center"/>
    </xf>
    <xf borderId="0" fillId="18" fontId="1" numFmtId="0" xfId="0" applyAlignment="1" applyFont="1">
      <alignment horizontal="right" vertical="bottom"/>
    </xf>
    <xf borderId="0" fillId="19" fontId="1" numFmtId="0" xfId="0" applyAlignment="1" applyFill="1" applyFont="1">
      <alignment vertical="bottom"/>
    </xf>
    <xf borderId="0" fillId="19" fontId="1" numFmtId="0" xfId="0" applyAlignment="1" applyFont="1">
      <alignment horizontal="center" vertical="bottom"/>
    </xf>
    <xf borderId="0" fillId="19" fontId="1" numFmtId="0" xfId="0" applyAlignment="1" applyFont="1">
      <alignment horizontal="center" shrinkToFit="0" vertical="bottom" wrapText="1"/>
    </xf>
    <xf borderId="0" fillId="19" fontId="1" numFmtId="0" xfId="0" applyAlignment="1" applyFont="1">
      <alignment horizontal="center"/>
    </xf>
    <xf borderId="0" fillId="19" fontId="1" numFmtId="49" xfId="0" applyAlignment="1" applyFont="1" applyNumberFormat="1">
      <alignment horizontal="center" vertical="bottom"/>
    </xf>
    <xf borderId="0" fillId="19" fontId="1" numFmtId="0" xfId="0" applyAlignment="1" applyFont="1">
      <alignment shrinkToFit="0" vertical="bottom" wrapText="1"/>
    </xf>
    <xf borderId="0" fillId="10" fontId="1" numFmtId="0" xfId="0" applyAlignment="1" applyFont="1">
      <alignment vertical="bottom"/>
    </xf>
    <xf borderId="0" fillId="10" fontId="1" numFmtId="49" xfId="0" applyAlignment="1" applyFont="1" applyNumberFormat="1">
      <alignment vertical="bottom"/>
    </xf>
    <xf borderId="0" fillId="12" fontId="1" numFmtId="1" xfId="0" applyAlignment="1" applyFont="1" applyNumberFormat="1">
      <alignment vertical="bottom"/>
    </xf>
    <xf borderId="0" fillId="10" fontId="1" numFmtId="0" xfId="0" applyAlignment="1" applyFont="1">
      <alignment horizontal="right" vertical="bottom"/>
    </xf>
    <xf borderId="0" fillId="10" fontId="1" numFmtId="49" xfId="0" applyAlignment="1" applyFont="1" applyNumberFormat="1">
      <alignment horizontal="center" vertical="bottom"/>
    </xf>
    <xf borderId="0" fillId="10" fontId="1" numFmtId="0" xfId="0" applyAlignment="1" applyFont="1">
      <alignment horizontal="center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ont="1">
      <alignment horizontal="center" vertical="bottom"/>
    </xf>
    <xf borderId="0" fillId="2" fontId="2" numFmtId="49" xfId="0" applyAlignment="1" applyFont="1" applyNumberFormat="1">
      <alignment horizontal="center" vertical="bottom"/>
    </xf>
    <xf borderId="0" fillId="2" fontId="2" numFmtId="0" xfId="0" applyAlignment="1" applyFont="1">
      <alignment horizontal="center" shrinkToFit="0" vertical="bottom" wrapText="1"/>
    </xf>
    <xf borderId="0" fillId="2" fontId="2" numFmtId="1" xfId="0" applyAlignment="1" applyFont="1" applyNumberFormat="1">
      <alignment horizontal="center" shrinkToFit="0" vertical="bottom" wrapText="1"/>
    </xf>
    <xf borderId="0" fillId="2" fontId="2" numFmtId="165" xfId="0" applyAlignment="1" applyFont="1" applyNumberFormat="1">
      <alignment horizontal="center" vertical="bottom"/>
    </xf>
    <xf borderId="0" fillId="12" fontId="1" numFmtId="0" xfId="0" applyAlignment="1" applyFont="1">
      <alignment vertical="bottom"/>
    </xf>
    <xf borderId="0" fillId="12" fontId="1" numFmtId="0" xfId="0" applyAlignment="1" applyFont="1">
      <alignment horizontal="center" vertical="bottom"/>
    </xf>
    <xf borderId="0" fillId="12" fontId="1" numFmtId="0" xfId="0" applyAlignment="1" applyFont="1">
      <alignment horizontal="center" shrinkToFit="0" vertical="bottom" wrapText="1"/>
    </xf>
    <xf borderId="0" fillId="13" fontId="1" numFmtId="1" xfId="0" applyAlignment="1" applyFont="1" applyNumberFormat="1">
      <alignment horizontal="center" shrinkToFit="0" vertical="bottom" wrapText="1"/>
    </xf>
    <xf borderId="0" fillId="14" fontId="1" numFmtId="1" xfId="0" applyAlignment="1" applyFont="1" applyNumberFormat="1">
      <alignment horizontal="center" shrinkToFit="0" vertical="bottom" wrapText="1"/>
    </xf>
    <xf borderId="0" fillId="9" fontId="1" numFmtId="0" xfId="0" applyAlignment="1" applyFont="1">
      <alignment vertical="bottom"/>
    </xf>
    <xf borderId="0" fillId="9" fontId="1" numFmtId="0" xfId="0" applyAlignment="1" applyFont="1">
      <alignment horizontal="center" vertical="bottom"/>
    </xf>
    <xf borderId="0" fillId="9" fontId="1" numFmtId="0" xfId="0" applyAlignment="1" applyFont="1">
      <alignment horizontal="center" shrinkToFit="0" vertical="bottom" wrapText="1"/>
    </xf>
    <xf borderId="0" fillId="9" fontId="1" numFmtId="0" xfId="0" applyAlignment="1" applyFont="1">
      <alignment horizontal="center" vertical="bottom"/>
    </xf>
    <xf borderId="0" fillId="3" fontId="4" numFmtId="0" xfId="0" applyAlignment="1" applyFont="1">
      <alignment horizontal="center" shrinkToFit="0" wrapText="0"/>
    </xf>
    <xf borderId="0" fillId="3" fontId="4" numFmtId="0" xfId="0" applyAlignment="1" applyFont="1">
      <alignment horizontal="center"/>
    </xf>
    <xf borderId="0" fillId="3" fontId="4" numFmtId="166" xfId="0" applyAlignment="1" applyFont="1" applyNumberFormat="1">
      <alignment horizontal="center" shrinkToFit="0" wrapText="0"/>
    </xf>
    <xf borderId="0" fillId="3" fontId="4" numFmtId="166" xfId="0" applyAlignment="1" applyFont="1" applyNumberFormat="1">
      <alignment horizontal="center" shrinkToFit="0" wrapText="0"/>
    </xf>
    <xf borderId="0" fillId="0" fontId="5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1" fillId="0" fontId="5" numFmtId="0" xfId="0" applyAlignment="1" applyBorder="1" applyFont="1">
      <alignment horizontal="center" vertical="bottom"/>
    </xf>
    <xf borderId="1" fillId="0" fontId="6" numFmtId="0" xfId="0" applyBorder="1" applyFont="1"/>
    <xf borderId="0" fillId="5" fontId="5" numFmtId="0" xfId="0" applyAlignment="1" applyFont="1">
      <alignment horizontal="center" vertical="bottom"/>
    </xf>
    <xf borderId="0" fillId="5" fontId="2" numFmtId="0" xfId="0" applyAlignment="1" applyFont="1">
      <alignment horizontal="center"/>
    </xf>
    <xf borderId="0" fillId="20" fontId="5" numFmtId="0" xfId="0" applyAlignment="1" applyFill="1" applyFont="1">
      <alignment horizontal="center" vertical="bottom"/>
    </xf>
    <xf borderId="0" fillId="15" fontId="5" numFmtId="0" xfId="0" applyAlignment="1" applyFont="1">
      <alignment horizontal="center" vertical="bottom"/>
    </xf>
    <xf borderId="0" fillId="5" fontId="5" numFmtId="0" xfId="0" applyAlignment="1" applyFont="1">
      <alignment horizontal="center"/>
    </xf>
    <xf borderId="0" fillId="21" fontId="1" numFmtId="0" xfId="0" applyAlignment="1" applyFill="1" applyFont="1">
      <alignment vertical="bottom"/>
    </xf>
    <xf borderId="0" fillId="22" fontId="5" numFmtId="0" xfId="0" applyAlignment="1" applyFill="1" applyFont="1">
      <alignment horizontal="center" vertical="bottom"/>
    </xf>
    <xf borderId="0" fillId="5" fontId="7" numFmtId="0" xfId="0" applyAlignment="1" applyFont="1">
      <alignment vertical="top"/>
    </xf>
    <xf borderId="1" fillId="5" fontId="5" numFmtId="0" xfId="0" applyAlignment="1" applyBorder="1" applyFon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0" fontId="5" numFmtId="0" xfId="0" applyAlignment="1" applyFont="1">
      <alignment horizontal="center"/>
    </xf>
    <xf borderId="0" fillId="23" fontId="5" numFmtId="0" xfId="0" applyAlignment="1" applyFill="1" applyFont="1">
      <alignment horizontal="center" vertical="bottom"/>
    </xf>
    <xf borderId="1" fillId="15" fontId="5" numFmtId="0" xfId="0" applyAlignment="1" applyBorder="1" applyFont="1">
      <alignment horizontal="center" vertical="bottom"/>
    </xf>
    <xf borderId="0" fillId="3" fontId="4" numFmtId="0" xfId="0" applyAlignment="1" applyFont="1">
      <alignment horizontal="center" shrinkToFit="0" vertical="bottom" wrapText="0"/>
    </xf>
    <xf borderId="0" fillId="3" fontId="4" numFmtId="0" xfId="0" applyAlignment="1" applyFont="1">
      <alignment horizontal="center" vertical="bottom"/>
    </xf>
    <xf borderId="0" fillId="3" fontId="4" numFmtId="166" xfId="0" applyAlignment="1" applyFont="1" applyNumberFormat="1">
      <alignment horizontal="center" shrinkToFit="0" vertical="bottom" wrapText="0"/>
    </xf>
    <xf borderId="1" fillId="5" fontId="5" numFmtId="0" xfId="0" applyAlignment="1" applyBorder="1" applyFont="1">
      <alignment horizontal="center"/>
    </xf>
    <xf borderId="0" fillId="22" fontId="5" numFmtId="0" xfId="0" applyAlignment="1" applyFont="1">
      <alignment horizontal="center"/>
    </xf>
    <xf borderId="0" fillId="21" fontId="2" numFmtId="0" xfId="0" applyAlignment="1" applyFont="1">
      <alignment horizontal="center"/>
    </xf>
    <xf borderId="1" fillId="22" fontId="5" numFmtId="0" xfId="0" applyAlignment="1" applyBorder="1" applyFont="1">
      <alignment horizontal="center" vertical="bottom"/>
    </xf>
    <xf borderId="1" fillId="22" fontId="5" numFmtId="0" xfId="0" applyAlignment="1" applyBorder="1" applyFont="1">
      <alignment horizontal="center"/>
    </xf>
    <xf borderId="0" fillId="22" fontId="2" numFmtId="0" xfId="0" applyAlignment="1" applyFont="1">
      <alignment horizontal="center"/>
    </xf>
    <xf borderId="1" fillId="22" fontId="5" numFmtId="0" xfId="0" applyAlignment="1" applyBorder="1" applyFont="1">
      <alignment vertical="bottom"/>
    </xf>
    <xf borderId="1" fillId="22" fontId="1" numFmtId="0" xfId="0" applyAlignment="1" applyBorder="1" applyFont="1">
      <alignment vertical="bottom"/>
    </xf>
    <xf borderId="0" fillId="3" fontId="4" numFmtId="167" xfId="0" applyAlignment="1" applyFont="1" applyNumberFormat="1">
      <alignment horizontal="center" shrinkToFit="0" vertical="bottom" wrapText="0"/>
    </xf>
    <xf borderId="2" fillId="5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3" fillId="5" fontId="5" numFmtId="0" xfId="0" applyAlignment="1" applyBorder="1" applyFont="1">
      <alignment horizontal="center" vertical="bottom"/>
    </xf>
    <xf borderId="3" fillId="5" fontId="5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5" fillId="5" fontId="5" numFmtId="0" xfId="0" applyAlignment="1" applyBorder="1" applyFont="1">
      <alignment horizontal="center" vertical="bottom"/>
    </xf>
    <xf borderId="6" fillId="0" fontId="6" numFmtId="0" xfId="0" applyBorder="1" applyFont="1"/>
    <xf borderId="0" fillId="5" fontId="8" numFmtId="0" xfId="0" applyAlignment="1" applyFont="1">
      <alignment horizontal="center" vertical="bottom"/>
    </xf>
    <xf borderId="7" fillId="0" fontId="6" numFmtId="0" xfId="0" applyBorder="1" applyFont="1"/>
    <xf borderId="2" fillId="21" fontId="5" numFmtId="0" xfId="0" applyAlignment="1" applyBorder="1" applyFont="1">
      <alignment horizontal="center" vertical="bottom"/>
    </xf>
    <xf borderId="3" fillId="21" fontId="5" numFmtId="0" xfId="0" applyAlignment="1" applyBorder="1" applyFont="1">
      <alignment horizontal="center" vertical="bottom"/>
    </xf>
    <xf borderId="3" fillId="21" fontId="5" numFmtId="0" xfId="0" applyAlignment="1" applyBorder="1" applyFont="1">
      <alignment horizontal="center"/>
    </xf>
    <xf borderId="4" fillId="21" fontId="2" numFmtId="0" xfId="0" applyAlignment="1" applyBorder="1" applyFont="1">
      <alignment horizontal="center"/>
    </xf>
    <xf borderId="0" fillId="21" fontId="5" numFmtId="0" xfId="0" applyAlignment="1" applyFont="1">
      <alignment horizontal="center" vertical="bottom"/>
    </xf>
    <xf borderId="5" fillId="21" fontId="5" numFmtId="0" xfId="0" applyAlignment="1" applyBorder="1" applyFont="1">
      <alignment horizontal="center" vertical="bottom"/>
    </xf>
    <xf borderId="0" fillId="21" fontId="5" numFmtId="0" xfId="0" applyAlignment="1" applyFont="1">
      <alignment horizontal="center"/>
    </xf>
    <xf borderId="6" fillId="5" fontId="2" numFmtId="0" xfId="0" applyAlignment="1" applyBorder="1" applyFont="1">
      <alignment horizontal="center"/>
    </xf>
    <xf borderId="5" fillId="5" fontId="1" numFmtId="0" xfId="0" applyAlignment="1" applyBorder="1" applyFont="1">
      <alignment vertical="bottom"/>
    </xf>
    <xf borderId="0" fillId="5" fontId="1" numFmtId="0" xfId="0" applyAlignment="1" applyFont="1">
      <alignment vertical="bottom"/>
    </xf>
    <xf borderId="0" fillId="5" fontId="1" numFmtId="0" xfId="0" applyFont="1"/>
    <xf borderId="8" fillId="5" fontId="5" numFmtId="0" xfId="0" applyAlignment="1" applyBorder="1" applyFont="1">
      <alignment horizontal="center" vertical="bottom"/>
    </xf>
    <xf borderId="8" fillId="21" fontId="5" numFmtId="0" xfId="0" applyAlignment="1" applyBorder="1" applyFont="1">
      <alignment horizontal="center" vertical="bottom"/>
    </xf>
    <xf borderId="1" fillId="21" fontId="5" numFmtId="0" xfId="0" applyAlignment="1" applyBorder="1" applyFont="1">
      <alignment horizontal="center" vertical="bottom"/>
    </xf>
    <xf borderId="1" fillId="21" fontId="5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DA 3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49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A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muditt893gmail.com/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2"/>
      <c r="F1" s="2"/>
      <c r="G1" s="2"/>
      <c r="H1" s="2"/>
      <c r="I1" s="2"/>
      <c r="J1" s="3"/>
      <c r="K1" s="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5">
        <f t="shared" ref="BR1:BW1" si="1">COUNTIF(BR4:BR285,"True")</f>
        <v>69</v>
      </c>
      <c r="BS1" s="5">
        <f t="shared" si="1"/>
        <v>76</v>
      </c>
      <c r="BT1" s="5">
        <f t="shared" si="1"/>
        <v>57</v>
      </c>
      <c r="BU1" s="5">
        <f t="shared" si="1"/>
        <v>67</v>
      </c>
      <c r="BV1" s="5">
        <f t="shared" si="1"/>
        <v>61</v>
      </c>
      <c r="BW1" s="5">
        <f t="shared" si="1"/>
        <v>58</v>
      </c>
      <c r="BX1" s="2"/>
      <c r="BY1" s="1"/>
      <c r="BZ1" s="1"/>
      <c r="CA1" s="2"/>
      <c r="CB1" s="2"/>
      <c r="CC1" s="2"/>
      <c r="CD1" s="2"/>
      <c r="CE1" s="2"/>
      <c r="CF1" s="2"/>
    </row>
    <row r="2">
      <c r="A2" s="6" t="s">
        <v>0</v>
      </c>
      <c r="B2" s="7" t="s">
        <v>1</v>
      </c>
      <c r="C2" s="7" t="s">
        <v>2</v>
      </c>
      <c r="D2" s="7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8" t="s">
        <v>9</v>
      </c>
      <c r="K2" s="2"/>
      <c r="L2" s="9">
        <v>46096.0</v>
      </c>
      <c r="M2" s="9">
        <v>46095.0</v>
      </c>
      <c r="N2" s="9">
        <v>46089.0</v>
      </c>
      <c r="O2" s="9">
        <v>46088.0</v>
      </c>
      <c r="P2" s="9">
        <v>46082.0</v>
      </c>
      <c r="Q2" s="9">
        <v>46081.0</v>
      </c>
      <c r="R2" s="9">
        <v>46075.0</v>
      </c>
      <c r="S2" s="9">
        <v>46074.0</v>
      </c>
      <c r="T2" s="9">
        <v>46068.0</v>
      </c>
      <c r="U2" s="9">
        <v>46067.0</v>
      </c>
      <c r="V2" s="9">
        <v>46067.0</v>
      </c>
      <c r="W2" s="9">
        <v>46061.0</v>
      </c>
      <c r="X2" s="9">
        <v>46060.0</v>
      </c>
      <c r="Y2" s="9">
        <v>46060.0</v>
      </c>
      <c r="Z2" s="9">
        <v>46054.0</v>
      </c>
      <c r="AA2" s="9">
        <v>46053.0</v>
      </c>
      <c r="AB2" s="9">
        <v>46053.0</v>
      </c>
      <c r="AC2" s="9">
        <v>46047.0</v>
      </c>
      <c r="AD2" s="9">
        <v>46046.0</v>
      </c>
      <c r="AE2" s="9">
        <v>46046.0</v>
      </c>
      <c r="AF2" s="10">
        <v>45675.0</v>
      </c>
      <c r="AG2" s="10">
        <v>45674.0</v>
      </c>
      <c r="AH2" s="10">
        <v>45674.0</v>
      </c>
      <c r="AI2" s="10">
        <v>45667.0</v>
      </c>
      <c r="AJ2" s="10">
        <v>45661.0</v>
      </c>
      <c r="AK2" s="10">
        <v>46025.0</v>
      </c>
      <c r="AL2" s="10">
        <v>46012.0</v>
      </c>
      <c r="AM2" s="10">
        <v>46005.0</v>
      </c>
      <c r="AN2" s="11">
        <v>46004.0</v>
      </c>
      <c r="AO2" s="11">
        <v>46004.0</v>
      </c>
      <c r="AP2" s="10">
        <v>45998.0</v>
      </c>
      <c r="AQ2" s="10">
        <v>45997.0</v>
      </c>
      <c r="AR2" s="10">
        <v>45997.0</v>
      </c>
      <c r="AS2" s="10">
        <v>45991.0</v>
      </c>
      <c r="AT2" s="10">
        <v>45990.0</v>
      </c>
      <c r="AU2" s="10">
        <v>45990.0</v>
      </c>
      <c r="AV2" s="10">
        <v>45984.0</v>
      </c>
      <c r="AW2" s="10">
        <v>45983.0</v>
      </c>
      <c r="AX2" s="10">
        <v>45983.0</v>
      </c>
      <c r="AY2" s="10">
        <v>45977.0</v>
      </c>
      <c r="AZ2" s="10">
        <v>45976.0</v>
      </c>
      <c r="BA2" s="10">
        <v>45976.0</v>
      </c>
      <c r="BB2" s="10">
        <v>45970.0</v>
      </c>
      <c r="BC2" s="10">
        <v>45969.0</v>
      </c>
      <c r="BD2" s="10">
        <v>45963.0</v>
      </c>
      <c r="BE2" s="10">
        <v>45962.0</v>
      </c>
      <c r="BF2" s="10">
        <v>45955.0</v>
      </c>
      <c r="BG2" s="10">
        <v>45955.0</v>
      </c>
      <c r="BH2" s="10">
        <v>45942.0</v>
      </c>
      <c r="BI2" s="10">
        <v>45941.0</v>
      </c>
      <c r="BJ2" s="10">
        <v>45941.0</v>
      </c>
      <c r="BK2" s="10">
        <v>45935.0</v>
      </c>
      <c r="BL2" s="10">
        <v>45934.0</v>
      </c>
      <c r="BM2" s="10">
        <v>45934.0</v>
      </c>
      <c r="BN2" s="10">
        <v>45928.0</v>
      </c>
      <c r="BO2" s="10">
        <v>45927.0</v>
      </c>
      <c r="BP2" s="10">
        <v>45921.0</v>
      </c>
      <c r="BQ2" s="10">
        <v>45920.0</v>
      </c>
      <c r="BR2" s="10">
        <v>45914.0</v>
      </c>
      <c r="BS2" s="10">
        <v>45913.0</v>
      </c>
      <c r="BT2" s="10">
        <v>45907.0</v>
      </c>
      <c r="BU2" s="10">
        <v>45906.0</v>
      </c>
      <c r="BV2" s="12" t="s">
        <v>10</v>
      </c>
      <c r="BW2" s="12" t="s">
        <v>11</v>
      </c>
      <c r="BX2" s="2"/>
      <c r="BY2" s="1"/>
      <c r="BZ2" s="1"/>
      <c r="CA2" s="1"/>
      <c r="CB2" s="2"/>
      <c r="CC2" s="2"/>
      <c r="CD2" s="2"/>
      <c r="CE2" s="2"/>
      <c r="CF2" s="2"/>
    </row>
    <row r="3">
      <c r="A3" s="1"/>
      <c r="B3" s="1"/>
      <c r="C3" s="1"/>
      <c r="D3" s="1"/>
      <c r="E3" s="2"/>
      <c r="F3" s="2"/>
      <c r="G3" s="2"/>
      <c r="H3" s="2"/>
      <c r="I3" s="2"/>
      <c r="J3" s="3"/>
      <c r="K3" s="2"/>
      <c r="L3" s="1"/>
      <c r="M3" s="1"/>
      <c r="N3" s="1"/>
      <c r="O3" s="1"/>
      <c r="P3" s="1"/>
      <c r="Q3" s="1"/>
      <c r="R3" s="1"/>
      <c r="S3" s="1"/>
      <c r="T3" s="1"/>
      <c r="U3" s="13" t="s">
        <v>12</v>
      </c>
      <c r="V3" s="1"/>
      <c r="W3" s="1"/>
      <c r="X3" s="13" t="s">
        <v>12</v>
      </c>
      <c r="Y3" s="1"/>
      <c r="Z3" s="1"/>
      <c r="AA3" s="13" t="s">
        <v>12</v>
      </c>
      <c r="AB3" s="1"/>
      <c r="AC3" s="1"/>
      <c r="AD3" s="13" t="s">
        <v>12</v>
      </c>
      <c r="AE3" s="1"/>
      <c r="AF3" s="1"/>
      <c r="AG3" s="13" t="s">
        <v>12</v>
      </c>
      <c r="AH3" s="1"/>
      <c r="AI3" s="13" t="s">
        <v>12</v>
      </c>
      <c r="AJ3" s="1"/>
      <c r="AK3" s="1"/>
      <c r="AL3" s="1"/>
      <c r="AM3" s="1"/>
      <c r="AN3" s="13" t="s">
        <v>12</v>
      </c>
      <c r="AO3" s="13" t="s">
        <v>13</v>
      </c>
      <c r="AP3" s="1"/>
      <c r="AQ3" s="13" t="s">
        <v>12</v>
      </c>
      <c r="AR3" s="13" t="s">
        <v>13</v>
      </c>
      <c r="AS3" s="1"/>
      <c r="AT3" s="13" t="s">
        <v>12</v>
      </c>
      <c r="AU3" s="13" t="s">
        <v>13</v>
      </c>
      <c r="AV3" s="1"/>
      <c r="AW3" s="13" t="s">
        <v>12</v>
      </c>
      <c r="AX3" s="13" t="s">
        <v>13</v>
      </c>
      <c r="AY3" s="13" t="s">
        <v>13</v>
      </c>
      <c r="AZ3" s="13" t="s">
        <v>12</v>
      </c>
      <c r="BA3" s="13" t="s">
        <v>13</v>
      </c>
      <c r="BB3" s="13" t="s">
        <v>13</v>
      </c>
      <c r="BC3" s="13" t="s">
        <v>12</v>
      </c>
      <c r="BD3" s="13" t="s">
        <v>13</v>
      </c>
      <c r="BE3" s="13" t="s">
        <v>13</v>
      </c>
      <c r="BF3" s="13" t="s">
        <v>12</v>
      </c>
      <c r="BG3" s="13" t="s">
        <v>13</v>
      </c>
      <c r="BH3" s="13" t="s">
        <v>13</v>
      </c>
      <c r="BI3" s="13" t="s">
        <v>12</v>
      </c>
      <c r="BJ3" s="13" t="s">
        <v>13</v>
      </c>
      <c r="BK3" s="13" t="s">
        <v>13</v>
      </c>
      <c r="BL3" s="13" t="s">
        <v>12</v>
      </c>
      <c r="BM3" s="13" t="s">
        <v>13</v>
      </c>
      <c r="BN3" s="13" t="s">
        <v>13</v>
      </c>
      <c r="BO3" s="13" t="s">
        <v>13</v>
      </c>
      <c r="BP3" s="13" t="s">
        <v>13</v>
      </c>
      <c r="BQ3" s="13" t="s">
        <v>13</v>
      </c>
      <c r="BR3" s="13" t="s">
        <v>13</v>
      </c>
      <c r="BS3" s="13" t="s">
        <v>13</v>
      </c>
      <c r="BT3" s="13" t="s">
        <v>13</v>
      </c>
      <c r="BU3" s="13" t="s">
        <v>13</v>
      </c>
      <c r="BV3" s="13" t="s">
        <v>13</v>
      </c>
      <c r="BW3" s="13" t="s">
        <v>13</v>
      </c>
      <c r="BX3" s="2"/>
      <c r="BY3" s="1"/>
      <c r="BZ3" s="1"/>
      <c r="CA3" s="2"/>
      <c r="CB3" s="2"/>
      <c r="CC3" s="2"/>
      <c r="CD3" s="2"/>
      <c r="CE3" s="2"/>
      <c r="CF3" s="2"/>
    </row>
    <row r="4">
      <c r="A4" s="14" t="s">
        <v>14</v>
      </c>
      <c r="B4" s="15" t="s">
        <v>15</v>
      </c>
      <c r="C4" s="16">
        <v>7.019560434E9</v>
      </c>
      <c r="D4" s="14" t="s">
        <v>16</v>
      </c>
      <c r="E4" s="17"/>
      <c r="F4" s="17"/>
      <c r="G4" s="17"/>
      <c r="H4" s="17"/>
      <c r="I4" s="17"/>
      <c r="J4" s="18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5" t="b">
        <v>0</v>
      </c>
      <c r="BU4" s="15" t="b">
        <v>0</v>
      </c>
      <c r="BV4" s="15" t="b">
        <v>0</v>
      </c>
      <c r="BW4" s="15" t="b">
        <v>0</v>
      </c>
      <c r="BX4" s="19">
        <f t="shared" ref="BX4:BX96" si="2">COUNTA(AS4:BW4)</f>
        <v>4</v>
      </c>
      <c r="BY4" s="20">
        <f t="shared" ref="BY4:BY96" si="3">COUNTIF(AS4:BW4,TRUE)</f>
        <v>0</v>
      </c>
      <c r="BZ4" s="21">
        <f t="shared" ref="BZ4:BZ96" si="4">BY4/BX4</f>
        <v>0</v>
      </c>
      <c r="CA4" s="22" t="str">
        <f t="shared" ref="CA4:CA96" si="5">IF(BZ4&gt;=0.6,"GOOD IN NOV","BAD IN NOV")</f>
        <v>BAD IN NOV</v>
      </c>
      <c r="CB4" s="19">
        <f t="shared" ref="CB4:CB96" si="6">COUNTA(AM4:BW4)</f>
        <v>4</v>
      </c>
      <c r="CC4" s="20">
        <f t="shared" ref="CC4:CC96" si="7">COUNTIF(AM4:BW4,TRUE)</f>
        <v>0</v>
      </c>
      <c r="CD4" s="23">
        <f t="shared" ref="CD4:CD96" si="8">CC4/CB4</f>
        <v>0</v>
      </c>
      <c r="CE4" s="24" t="str">
        <f t="shared" ref="CE4:CE96" si="9">if(CD4&gt;=0.4,"Good in dec","Bad in dec")</f>
        <v>Bad in dec</v>
      </c>
      <c r="CF4" s="24" t="str">
        <f t="shared" ref="CF4:CF96" si="10">IF(AND(CA4="GOOD IN NOV",CE4="Bad in dec"),"CONNECT","NOT CONNECT")</f>
        <v>NOT CONNECT</v>
      </c>
    </row>
    <row r="5">
      <c r="A5" s="14" t="s">
        <v>17</v>
      </c>
      <c r="B5" s="15" t="s">
        <v>18</v>
      </c>
      <c r="C5" s="16">
        <v>9.916346376E9</v>
      </c>
      <c r="D5" s="14" t="s">
        <v>19</v>
      </c>
      <c r="E5" s="17"/>
      <c r="F5" s="17"/>
      <c r="G5" s="17"/>
      <c r="H5" s="17"/>
      <c r="I5" s="17"/>
      <c r="J5" s="18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5" t="b">
        <v>0</v>
      </c>
      <c r="BU5" s="15" t="b">
        <v>0</v>
      </c>
      <c r="BV5" s="15" t="b">
        <v>0</v>
      </c>
      <c r="BW5" s="15" t="b">
        <v>0</v>
      </c>
      <c r="BX5" s="19">
        <f t="shared" si="2"/>
        <v>4</v>
      </c>
      <c r="BY5" s="20">
        <f t="shared" si="3"/>
        <v>0</v>
      </c>
      <c r="BZ5" s="21">
        <f t="shared" si="4"/>
        <v>0</v>
      </c>
      <c r="CA5" s="22" t="str">
        <f t="shared" si="5"/>
        <v>BAD IN NOV</v>
      </c>
      <c r="CB5" s="19">
        <f t="shared" si="6"/>
        <v>4</v>
      </c>
      <c r="CC5" s="20">
        <f t="shared" si="7"/>
        <v>0</v>
      </c>
      <c r="CD5" s="23">
        <f t="shared" si="8"/>
        <v>0</v>
      </c>
      <c r="CE5" s="24" t="str">
        <f t="shared" si="9"/>
        <v>Bad in dec</v>
      </c>
      <c r="CF5" s="24" t="str">
        <f t="shared" si="10"/>
        <v>NOT CONNECT</v>
      </c>
    </row>
    <row r="6">
      <c r="A6" s="25" t="s">
        <v>20</v>
      </c>
      <c r="B6" s="26" t="s">
        <v>21</v>
      </c>
      <c r="C6" s="27">
        <v>9.589934248E9</v>
      </c>
      <c r="D6" s="25" t="s">
        <v>22</v>
      </c>
      <c r="E6" s="28">
        <f t="shared" ref="E6:E96" si="11">COUNTIF($K6:CF6,TRUE) + COUNTIF($K6:CF6,FALSE)</f>
        <v>64</v>
      </c>
      <c r="F6" s="28">
        <f t="shared" ref="F6:F96" si="12">COUNTIF($K6:CF6,TRUE)</f>
        <v>41</v>
      </c>
      <c r="G6" s="29">
        <f t="shared" ref="G6:G96" si="13">ROUND((F6/E6)*100,0)</f>
        <v>64</v>
      </c>
      <c r="H6" s="28">
        <f t="shared" ref="H6:H96" si="14">COUNTIF(K6:CF6,TRUE)+COUNTIF(K6:CF6,FALSE)-COUNTIF($K$3:CF$3,"Shift 2")</f>
        <v>49</v>
      </c>
      <c r="I6" s="28">
        <f t="shared" ref="I6:I96" si="15">F6- COUNTIFS($K6:CF6,"TRUE",$K$3:CF$3,"Shift 2")</f>
        <v>38</v>
      </c>
      <c r="J6" s="30">
        <f t="shared" ref="J6:J96" si="16">(I6/H6)*100</f>
        <v>77.55102041</v>
      </c>
      <c r="K6" s="31"/>
      <c r="L6" s="26" t="b">
        <v>0</v>
      </c>
      <c r="M6" s="26" t="b">
        <v>1</v>
      </c>
      <c r="N6" s="26" t="b">
        <v>0</v>
      </c>
      <c r="O6" s="26" t="b">
        <v>1</v>
      </c>
      <c r="P6" s="26" t="b">
        <v>1</v>
      </c>
      <c r="Q6" s="26" t="b">
        <v>1</v>
      </c>
      <c r="R6" s="26" t="b">
        <v>0</v>
      </c>
      <c r="S6" s="26" t="b">
        <v>1</v>
      </c>
      <c r="T6" s="26" t="b">
        <v>1</v>
      </c>
      <c r="U6" s="26" t="b">
        <v>0</v>
      </c>
      <c r="V6" s="26" t="b">
        <v>1</v>
      </c>
      <c r="W6" s="26" t="b">
        <v>0</v>
      </c>
      <c r="X6" s="26" t="b">
        <v>0</v>
      </c>
      <c r="Y6" s="26" t="b">
        <v>1</v>
      </c>
      <c r="Z6" s="26" t="b">
        <v>1</v>
      </c>
      <c r="AA6" s="26" t="b">
        <v>1</v>
      </c>
      <c r="AB6" s="26" t="b">
        <v>1</v>
      </c>
      <c r="AC6" s="26" t="b">
        <v>1</v>
      </c>
      <c r="AD6" s="26" t="b">
        <v>0</v>
      </c>
      <c r="AE6" s="26" t="b">
        <v>1</v>
      </c>
      <c r="AF6" s="26" t="b">
        <v>0</v>
      </c>
      <c r="AG6" s="26" t="b">
        <v>0</v>
      </c>
      <c r="AH6" s="26" t="b">
        <v>1</v>
      </c>
      <c r="AI6" s="26" t="b">
        <v>0</v>
      </c>
      <c r="AJ6" s="26" t="b">
        <v>0</v>
      </c>
      <c r="AK6" s="26" t="b">
        <v>1</v>
      </c>
      <c r="AL6" s="26" t="b">
        <v>1</v>
      </c>
      <c r="AM6" s="26" t="b">
        <v>1</v>
      </c>
      <c r="AN6" s="26" t="b">
        <v>0</v>
      </c>
      <c r="AO6" s="26" t="b">
        <v>1</v>
      </c>
      <c r="AP6" s="26" t="b">
        <v>1</v>
      </c>
      <c r="AQ6" s="26" t="b">
        <v>0</v>
      </c>
      <c r="AR6" s="26" t="b">
        <v>1</v>
      </c>
      <c r="AS6" s="26" t="b">
        <v>0</v>
      </c>
      <c r="AT6" s="26" t="b">
        <v>0</v>
      </c>
      <c r="AU6" s="26" t="b">
        <v>1</v>
      </c>
      <c r="AV6" s="26" t="b">
        <v>1</v>
      </c>
      <c r="AW6" s="26" t="b">
        <v>0</v>
      </c>
      <c r="AX6" s="26" t="b">
        <v>1</v>
      </c>
      <c r="AY6" s="26" t="b">
        <v>1</v>
      </c>
      <c r="AZ6" s="26" t="b">
        <v>0</v>
      </c>
      <c r="BA6" s="26" t="b">
        <v>1</v>
      </c>
      <c r="BB6" s="26" t="b">
        <v>1</v>
      </c>
      <c r="BC6" s="26" t="b">
        <v>0</v>
      </c>
      <c r="BD6" s="26" t="b">
        <v>0</v>
      </c>
      <c r="BE6" s="26" t="b">
        <v>1</v>
      </c>
      <c r="BF6" s="26" t="b">
        <v>1</v>
      </c>
      <c r="BG6" s="26" t="b">
        <v>1</v>
      </c>
      <c r="BH6" s="26" t="b">
        <v>1</v>
      </c>
      <c r="BI6" s="26" t="b">
        <v>0</v>
      </c>
      <c r="BJ6" s="26" t="b">
        <v>1</v>
      </c>
      <c r="BK6" s="26" t="b">
        <v>0</v>
      </c>
      <c r="BL6" s="26" t="b">
        <v>1</v>
      </c>
      <c r="BM6" s="26" t="b">
        <v>1</v>
      </c>
      <c r="BN6" s="26" t="b">
        <v>1</v>
      </c>
      <c r="BO6" s="26" t="b">
        <v>1</v>
      </c>
      <c r="BP6" s="26" t="b">
        <v>0</v>
      </c>
      <c r="BQ6" s="26" t="b">
        <v>1</v>
      </c>
      <c r="BR6" s="26" t="b">
        <v>1</v>
      </c>
      <c r="BS6" s="26" t="b">
        <v>1</v>
      </c>
      <c r="BT6" s="26" t="b">
        <v>0</v>
      </c>
      <c r="BU6" s="26" t="b">
        <v>1</v>
      </c>
      <c r="BV6" s="26" t="b">
        <v>1</v>
      </c>
      <c r="BW6" s="26" t="b">
        <v>1</v>
      </c>
      <c r="BX6" s="19">
        <f t="shared" si="2"/>
        <v>31</v>
      </c>
      <c r="BY6" s="20">
        <f t="shared" si="3"/>
        <v>21</v>
      </c>
      <c r="BZ6" s="21">
        <f t="shared" si="4"/>
        <v>0.6774193548</v>
      </c>
      <c r="CA6" s="22" t="str">
        <f t="shared" si="5"/>
        <v>GOOD IN NOV</v>
      </c>
      <c r="CB6" s="19">
        <f t="shared" si="6"/>
        <v>37</v>
      </c>
      <c r="CC6" s="20">
        <f t="shared" si="7"/>
        <v>25</v>
      </c>
      <c r="CD6" s="23">
        <f t="shared" si="8"/>
        <v>0.6756756757</v>
      </c>
      <c r="CE6" s="24" t="str">
        <f t="shared" si="9"/>
        <v>Good in dec</v>
      </c>
      <c r="CF6" s="24" t="str">
        <f t="shared" si="10"/>
        <v>NOT CONNECT</v>
      </c>
    </row>
    <row r="7">
      <c r="A7" s="25" t="s">
        <v>23</v>
      </c>
      <c r="B7" s="26" t="s">
        <v>24</v>
      </c>
      <c r="C7" s="27">
        <v>7.440262005E9</v>
      </c>
      <c r="D7" s="25" t="s">
        <v>22</v>
      </c>
      <c r="E7" s="28">
        <f t="shared" si="11"/>
        <v>64</v>
      </c>
      <c r="F7" s="28">
        <f t="shared" si="12"/>
        <v>50</v>
      </c>
      <c r="G7" s="32">
        <f t="shared" si="13"/>
        <v>78</v>
      </c>
      <c r="H7" s="28">
        <f t="shared" si="14"/>
        <v>49</v>
      </c>
      <c r="I7" s="28">
        <f t="shared" si="15"/>
        <v>41</v>
      </c>
      <c r="J7" s="30">
        <f t="shared" si="16"/>
        <v>83.67346939</v>
      </c>
      <c r="K7" s="31"/>
      <c r="L7" s="26" t="b">
        <v>1</v>
      </c>
      <c r="M7" s="26" t="b">
        <v>0</v>
      </c>
      <c r="N7" s="26" t="b">
        <v>1</v>
      </c>
      <c r="O7" s="26" t="b">
        <v>0</v>
      </c>
      <c r="P7" s="26" t="b">
        <v>1</v>
      </c>
      <c r="Q7" s="26" t="b">
        <v>1</v>
      </c>
      <c r="R7" s="26" t="b">
        <v>1</v>
      </c>
      <c r="S7" s="26" t="b">
        <v>1</v>
      </c>
      <c r="T7" s="26" t="b">
        <v>1</v>
      </c>
      <c r="U7" s="26" t="b">
        <v>0</v>
      </c>
      <c r="V7" s="26" t="b">
        <v>1</v>
      </c>
      <c r="W7" s="26" t="b">
        <v>1</v>
      </c>
      <c r="X7" s="26" t="b">
        <v>0</v>
      </c>
      <c r="Y7" s="26" t="b">
        <v>0</v>
      </c>
      <c r="Z7" s="26" t="b">
        <v>1</v>
      </c>
      <c r="AA7" s="26" t="b">
        <v>0</v>
      </c>
      <c r="AB7" s="26" t="b">
        <v>1</v>
      </c>
      <c r="AC7" s="26" t="b">
        <v>1</v>
      </c>
      <c r="AD7" s="26" t="b">
        <v>0</v>
      </c>
      <c r="AE7" s="26" t="b">
        <v>0</v>
      </c>
      <c r="AF7" s="26" t="b">
        <v>1</v>
      </c>
      <c r="AG7" s="26" t="b">
        <v>1</v>
      </c>
      <c r="AH7" s="26" t="b">
        <v>1</v>
      </c>
      <c r="AI7" s="26" t="b">
        <v>1</v>
      </c>
      <c r="AJ7" s="26" t="b">
        <v>1</v>
      </c>
      <c r="AK7" s="26" t="b">
        <v>1</v>
      </c>
      <c r="AL7" s="26" t="b">
        <v>1</v>
      </c>
      <c r="AM7" s="26" t="b">
        <v>1</v>
      </c>
      <c r="AN7" s="26" t="b">
        <v>0</v>
      </c>
      <c r="AO7" s="26" t="b">
        <v>1</v>
      </c>
      <c r="AP7" s="26" t="b">
        <v>1</v>
      </c>
      <c r="AQ7" s="26" t="b">
        <v>0</v>
      </c>
      <c r="AR7" s="26" t="b">
        <v>1</v>
      </c>
      <c r="AS7" s="26" t="b">
        <v>1</v>
      </c>
      <c r="AT7" s="26" t="b">
        <v>1</v>
      </c>
      <c r="AU7" s="26" t="b">
        <v>1</v>
      </c>
      <c r="AV7" s="26" t="b">
        <v>1</v>
      </c>
      <c r="AW7" s="26" t="b">
        <v>1</v>
      </c>
      <c r="AX7" s="26" t="b">
        <v>1</v>
      </c>
      <c r="AY7" s="26" t="b">
        <v>1</v>
      </c>
      <c r="AZ7" s="26" t="b">
        <v>1</v>
      </c>
      <c r="BA7" s="26" t="b">
        <v>1</v>
      </c>
      <c r="BB7" s="26" t="b">
        <v>1</v>
      </c>
      <c r="BC7" s="26" t="b">
        <v>1</v>
      </c>
      <c r="BD7" s="26" t="b">
        <v>1</v>
      </c>
      <c r="BE7" s="26" t="b">
        <v>1</v>
      </c>
      <c r="BF7" s="26" t="b">
        <v>1</v>
      </c>
      <c r="BG7" s="26" t="b">
        <v>1</v>
      </c>
      <c r="BH7" s="26" t="b">
        <v>1</v>
      </c>
      <c r="BI7" s="26" t="b">
        <v>1</v>
      </c>
      <c r="BJ7" s="26" t="b">
        <v>1</v>
      </c>
      <c r="BK7" s="26" t="b">
        <v>1</v>
      </c>
      <c r="BL7" s="26" t="b">
        <v>1</v>
      </c>
      <c r="BM7" s="26" t="b">
        <v>1</v>
      </c>
      <c r="BN7" s="26" t="b">
        <v>1</v>
      </c>
      <c r="BO7" s="26" t="b">
        <v>1</v>
      </c>
      <c r="BP7" s="26" t="b">
        <v>1</v>
      </c>
      <c r="BQ7" s="26" t="b">
        <v>1</v>
      </c>
      <c r="BR7" s="26" t="b">
        <v>1</v>
      </c>
      <c r="BS7" s="26" t="b">
        <v>1</v>
      </c>
      <c r="BT7" s="26" t="b">
        <v>0</v>
      </c>
      <c r="BU7" s="26" t="b">
        <v>0</v>
      </c>
      <c r="BV7" s="26" t="b">
        <v>0</v>
      </c>
      <c r="BW7" s="26" t="b">
        <v>0</v>
      </c>
      <c r="BX7" s="19">
        <f t="shared" si="2"/>
        <v>31</v>
      </c>
      <c r="BY7" s="20">
        <f t="shared" si="3"/>
        <v>27</v>
      </c>
      <c r="BZ7" s="21">
        <f t="shared" si="4"/>
        <v>0.8709677419</v>
      </c>
      <c r="CA7" s="22" t="str">
        <f t="shared" si="5"/>
        <v>GOOD IN NOV</v>
      </c>
      <c r="CB7" s="19">
        <f t="shared" si="6"/>
        <v>37</v>
      </c>
      <c r="CC7" s="20">
        <f t="shared" si="7"/>
        <v>31</v>
      </c>
      <c r="CD7" s="23">
        <f t="shared" si="8"/>
        <v>0.8378378378</v>
      </c>
      <c r="CE7" s="24" t="str">
        <f t="shared" si="9"/>
        <v>Good in dec</v>
      </c>
      <c r="CF7" s="24" t="str">
        <f t="shared" si="10"/>
        <v>NOT CONNECT</v>
      </c>
    </row>
    <row r="8">
      <c r="A8" s="31" t="s">
        <v>25</v>
      </c>
      <c r="B8" s="33" t="s">
        <v>26</v>
      </c>
      <c r="C8" s="34">
        <v>7.024157979E9</v>
      </c>
      <c r="D8" s="25" t="s">
        <v>22</v>
      </c>
      <c r="E8" s="28">
        <f t="shared" si="11"/>
        <v>64</v>
      </c>
      <c r="F8" s="28">
        <f t="shared" si="12"/>
        <v>52</v>
      </c>
      <c r="G8" s="32">
        <f t="shared" si="13"/>
        <v>81</v>
      </c>
      <c r="H8" s="28">
        <f t="shared" si="14"/>
        <v>49</v>
      </c>
      <c r="I8" s="28">
        <f t="shared" si="15"/>
        <v>43</v>
      </c>
      <c r="J8" s="30">
        <f t="shared" si="16"/>
        <v>87.75510204</v>
      </c>
      <c r="K8" s="31"/>
      <c r="L8" s="26" t="b">
        <v>0</v>
      </c>
      <c r="M8" s="26" t="b">
        <v>0</v>
      </c>
      <c r="N8" s="26" t="b">
        <v>1</v>
      </c>
      <c r="O8" s="26" t="b">
        <v>1</v>
      </c>
      <c r="P8" s="26" t="b">
        <v>1</v>
      </c>
      <c r="Q8" s="26" t="b">
        <v>1</v>
      </c>
      <c r="R8" s="26" t="b">
        <v>1</v>
      </c>
      <c r="S8" s="26" t="b">
        <v>1</v>
      </c>
      <c r="T8" s="26" t="b">
        <v>1</v>
      </c>
      <c r="U8" s="26" t="b">
        <v>0</v>
      </c>
      <c r="V8" s="26" t="b">
        <v>1</v>
      </c>
      <c r="W8" s="26" t="b">
        <v>1</v>
      </c>
      <c r="X8" s="26" t="b">
        <v>0</v>
      </c>
      <c r="Y8" s="26" t="b">
        <v>1</v>
      </c>
      <c r="Z8" s="26" t="b">
        <v>1</v>
      </c>
      <c r="AA8" s="26" t="b">
        <v>0</v>
      </c>
      <c r="AB8" s="26" t="b">
        <v>1</v>
      </c>
      <c r="AC8" s="26" t="b">
        <v>1</v>
      </c>
      <c r="AD8" s="26" t="b">
        <v>0</v>
      </c>
      <c r="AE8" s="26" t="b">
        <v>1</v>
      </c>
      <c r="AF8" s="26" t="b">
        <v>1</v>
      </c>
      <c r="AG8" s="26" t="b">
        <v>0</v>
      </c>
      <c r="AH8" s="26" t="b">
        <v>0</v>
      </c>
      <c r="AI8" s="26" t="b">
        <v>1</v>
      </c>
      <c r="AJ8" s="26" t="b">
        <v>0</v>
      </c>
      <c r="AK8" s="26" t="b">
        <v>1</v>
      </c>
      <c r="AL8" s="26" t="b">
        <v>1</v>
      </c>
      <c r="AM8" s="26" t="b">
        <v>1</v>
      </c>
      <c r="AN8" s="26" t="b">
        <v>0</v>
      </c>
      <c r="AO8" s="26" t="b">
        <v>1</v>
      </c>
      <c r="AP8" s="26" t="b">
        <v>1</v>
      </c>
      <c r="AQ8" s="26" t="b">
        <v>1</v>
      </c>
      <c r="AR8" s="26" t="b">
        <v>1</v>
      </c>
      <c r="AS8" s="26" t="b">
        <v>1</v>
      </c>
      <c r="AT8" s="26" t="b">
        <v>1</v>
      </c>
      <c r="AU8" s="26" t="b">
        <v>1</v>
      </c>
      <c r="AV8" s="26" t="b">
        <v>1</v>
      </c>
      <c r="AW8" s="26" t="b">
        <v>1</v>
      </c>
      <c r="AX8" s="26" t="b">
        <v>1</v>
      </c>
      <c r="AY8" s="26" t="b">
        <v>1</v>
      </c>
      <c r="AZ8" s="26" t="b">
        <v>1</v>
      </c>
      <c r="BA8" s="26" t="b">
        <v>1</v>
      </c>
      <c r="BB8" s="26" t="b">
        <v>0</v>
      </c>
      <c r="BC8" s="26" t="b">
        <v>1</v>
      </c>
      <c r="BD8" s="26" t="b">
        <v>1</v>
      </c>
      <c r="BE8" s="26" t="b">
        <v>1</v>
      </c>
      <c r="BF8" s="26" t="b">
        <v>1</v>
      </c>
      <c r="BG8" s="26" t="b">
        <v>1</v>
      </c>
      <c r="BH8" s="26" t="b">
        <v>1</v>
      </c>
      <c r="BI8" s="26" t="b">
        <v>1</v>
      </c>
      <c r="BJ8" s="26" t="b">
        <v>1</v>
      </c>
      <c r="BK8" s="26" t="b">
        <v>1</v>
      </c>
      <c r="BL8" s="26" t="b">
        <v>1</v>
      </c>
      <c r="BM8" s="26" t="b">
        <v>1</v>
      </c>
      <c r="BN8" s="26" t="b">
        <v>1</v>
      </c>
      <c r="BO8" s="26" t="b">
        <v>1</v>
      </c>
      <c r="BP8" s="26" t="b">
        <v>1</v>
      </c>
      <c r="BQ8" s="26" t="b">
        <v>1</v>
      </c>
      <c r="BR8" s="26" t="b">
        <v>1</v>
      </c>
      <c r="BS8" s="26" t="b">
        <v>1</v>
      </c>
      <c r="BT8" s="26" t="b">
        <v>1</v>
      </c>
      <c r="BU8" s="26" t="b">
        <v>1</v>
      </c>
      <c r="BV8" s="26" t="b">
        <v>1</v>
      </c>
      <c r="BW8" s="26" t="b">
        <v>0</v>
      </c>
      <c r="BX8" s="19">
        <f t="shared" si="2"/>
        <v>31</v>
      </c>
      <c r="BY8" s="20">
        <f t="shared" si="3"/>
        <v>29</v>
      </c>
      <c r="BZ8" s="21">
        <f t="shared" si="4"/>
        <v>0.935483871</v>
      </c>
      <c r="CA8" s="22" t="str">
        <f t="shared" si="5"/>
        <v>GOOD IN NOV</v>
      </c>
      <c r="CB8" s="19">
        <f t="shared" si="6"/>
        <v>37</v>
      </c>
      <c r="CC8" s="20">
        <f t="shared" si="7"/>
        <v>34</v>
      </c>
      <c r="CD8" s="23">
        <f t="shared" si="8"/>
        <v>0.9189189189</v>
      </c>
      <c r="CE8" s="24" t="str">
        <f t="shared" si="9"/>
        <v>Good in dec</v>
      </c>
      <c r="CF8" s="24" t="str">
        <f t="shared" si="10"/>
        <v>NOT CONNECT</v>
      </c>
    </row>
    <row r="9">
      <c r="A9" s="25" t="s">
        <v>27</v>
      </c>
      <c r="B9" s="26" t="s">
        <v>28</v>
      </c>
      <c r="C9" s="27">
        <v>7.240912177E9</v>
      </c>
      <c r="D9" s="25" t="s">
        <v>22</v>
      </c>
      <c r="E9" s="28">
        <f t="shared" si="11"/>
        <v>64</v>
      </c>
      <c r="F9" s="28">
        <f t="shared" si="12"/>
        <v>40</v>
      </c>
      <c r="G9" s="29">
        <f t="shared" si="13"/>
        <v>63</v>
      </c>
      <c r="H9" s="28">
        <f t="shared" si="14"/>
        <v>49</v>
      </c>
      <c r="I9" s="28">
        <f t="shared" si="15"/>
        <v>37</v>
      </c>
      <c r="J9" s="30">
        <f t="shared" si="16"/>
        <v>75.51020408</v>
      </c>
      <c r="K9" s="31"/>
      <c r="L9" s="26" t="b">
        <v>1</v>
      </c>
      <c r="M9" s="26" t="b">
        <v>1</v>
      </c>
      <c r="N9" s="26" t="b">
        <v>1</v>
      </c>
      <c r="O9" s="26" t="b">
        <v>0</v>
      </c>
      <c r="P9" s="26" t="b">
        <v>1</v>
      </c>
      <c r="Q9" s="26" t="b">
        <v>0</v>
      </c>
      <c r="R9" s="26" t="b">
        <v>1</v>
      </c>
      <c r="S9" s="26" t="b">
        <v>0</v>
      </c>
      <c r="T9" s="26" t="b">
        <v>1</v>
      </c>
      <c r="U9" s="26" t="b">
        <v>0</v>
      </c>
      <c r="V9" s="26" t="b">
        <v>1</v>
      </c>
      <c r="W9" s="26" t="b">
        <v>1</v>
      </c>
      <c r="X9" s="26" t="b">
        <v>0</v>
      </c>
      <c r="Y9" s="26" t="b">
        <v>1</v>
      </c>
      <c r="Z9" s="26" t="b">
        <v>0</v>
      </c>
      <c r="AA9" s="26" t="b">
        <v>0</v>
      </c>
      <c r="AB9" s="26" t="b">
        <v>1</v>
      </c>
      <c r="AC9" s="26" t="b">
        <v>1</v>
      </c>
      <c r="AD9" s="26" t="b">
        <v>0</v>
      </c>
      <c r="AE9" s="26" t="b">
        <v>1</v>
      </c>
      <c r="AF9" s="26" t="b">
        <v>1</v>
      </c>
      <c r="AG9" s="26" t="b">
        <v>0</v>
      </c>
      <c r="AH9" s="26" t="b">
        <v>1</v>
      </c>
      <c r="AI9" s="26" t="b">
        <v>0</v>
      </c>
      <c r="AJ9" s="26" t="b">
        <v>1</v>
      </c>
      <c r="AK9" s="26" t="b">
        <v>1</v>
      </c>
      <c r="AL9" s="26" t="b">
        <v>1</v>
      </c>
      <c r="AM9" s="26" t="b">
        <v>1</v>
      </c>
      <c r="AN9" s="26" t="b">
        <v>0</v>
      </c>
      <c r="AO9" s="26" t="b">
        <v>1</v>
      </c>
      <c r="AP9" s="26" t="b">
        <v>1</v>
      </c>
      <c r="AQ9" s="26" t="b">
        <v>0</v>
      </c>
      <c r="AR9" s="26" t="b">
        <v>1</v>
      </c>
      <c r="AS9" s="26" t="b">
        <v>1</v>
      </c>
      <c r="AT9" s="26" t="b">
        <v>0</v>
      </c>
      <c r="AU9" s="26" t="b">
        <v>1</v>
      </c>
      <c r="AV9" s="26" t="b">
        <v>0</v>
      </c>
      <c r="AW9" s="26" t="b">
        <v>0</v>
      </c>
      <c r="AX9" s="26" t="b">
        <v>0</v>
      </c>
      <c r="AY9" s="26" t="b">
        <v>1</v>
      </c>
      <c r="AZ9" s="26" t="b">
        <v>0</v>
      </c>
      <c r="BA9" s="26" t="b">
        <v>1</v>
      </c>
      <c r="BB9" s="26" t="b">
        <v>1</v>
      </c>
      <c r="BC9" s="26" t="b">
        <v>0</v>
      </c>
      <c r="BD9" s="26" t="b">
        <v>1</v>
      </c>
      <c r="BE9" s="26" t="b">
        <v>0</v>
      </c>
      <c r="BF9" s="26" t="b">
        <v>1</v>
      </c>
      <c r="BG9" s="26" t="b">
        <v>1</v>
      </c>
      <c r="BH9" s="26" t="b">
        <v>1</v>
      </c>
      <c r="BI9" s="26" t="b">
        <v>1</v>
      </c>
      <c r="BJ9" s="26" t="b">
        <v>1</v>
      </c>
      <c r="BK9" s="26" t="b">
        <v>1</v>
      </c>
      <c r="BL9" s="26" t="b">
        <v>1</v>
      </c>
      <c r="BM9" s="26" t="b">
        <v>1</v>
      </c>
      <c r="BN9" s="26" t="b">
        <v>0</v>
      </c>
      <c r="BO9" s="26" t="b">
        <v>1</v>
      </c>
      <c r="BP9" s="26" t="b">
        <v>1</v>
      </c>
      <c r="BQ9" s="26" t="b">
        <v>1</v>
      </c>
      <c r="BR9" s="26" t="b">
        <v>1</v>
      </c>
      <c r="BS9" s="26" t="b">
        <v>1</v>
      </c>
      <c r="BT9" s="26" t="b">
        <v>0</v>
      </c>
      <c r="BU9" s="26" t="b">
        <v>0</v>
      </c>
      <c r="BV9" s="26" t="b">
        <v>0</v>
      </c>
      <c r="BW9" s="26" t="b">
        <v>0</v>
      </c>
      <c r="BX9" s="19">
        <f t="shared" si="2"/>
        <v>31</v>
      </c>
      <c r="BY9" s="20">
        <f t="shared" si="3"/>
        <v>19</v>
      </c>
      <c r="BZ9" s="21">
        <f t="shared" si="4"/>
        <v>0.6129032258</v>
      </c>
      <c r="CA9" s="22" t="str">
        <f t="shared" si="5"/>
        <v>GOOD IN NOV</v>
      </c>
      <c r="CB9" s="19">
        <f t="shared" si="6"/>
        <v>37</v>
      </c>
      <c r="CC9" s="20">
        <f t="shared" si="7"/>
        <v>23</v>
      </c>
      <c r="CD9" s="23">
        <f t="shared" si="8"/>
        <v>0.6216216216</v>
      </c>
      <c r="CE9" s="24" t="str">
        <f t="shared" si="9"/>
        <v>Good in dec</v>
      </c>
      <c r="CF9" s="24" t="str">
        <f t="shared" si="10"/>
        <v>NOT CONNECT</v>
      </c>
    </row>
    <row r="10">
      <c r="A10" s="25" t="s">
        <v>29</v>
      </c>
      <c r="B10" s="26" t="s">
        <v>30</v>
      </c>
      <c r="C10" s="27">
        <v>9.16526262E9</v>
      </c>
      <c r="D10" s="25" t="s">
        <v>22</v>
      </c>
      <c r="E10" s="28">
        <f t="shared" si="11"/>
        <v>64</v>
      </c>
      <c r="F10" s="28">
        <f t="shared" si="12"/>
        <v>1</v>
      </c>
      <c r="G10" s="29">
        <f t="shared" si="13"/>
        <v>2</v>
      </c>
      <c r="H10" s="28">
        <f t="shared" si="14"/>
        <v>49</v>
      </c>
      <c r="I10" s="28">
        <f t="shared" si="15"/>
        <v>1</v>
      </c>
      <c r="J10" s="35">
        <f t="shared" si="16"/>
        <v>2.040816327</v>
      </c>
      <c r="K10" s="31"/>
      <c r="L10" s="26" t="b">
        <v>0</v>
      </c>
      <c r="M10" s="26" t="b">
        <v>0</v>
      </c>
      <c r="N10" s="26" t="b">
        <v>0</v>
      </c>
      <c r="O10" s="26" t="b">
        <v>0</v>
      </c>
      <c r="P10" s="26" t="b">
        <v>0</v>
      </c>
      <c r="Q10" s="26" t="b">
        <v>0</v>
      </c>
      <c r="R10" s="26" t="b">
        <v>0</v>
      </c>
      <c r="S10" s="26" t="b">
        <v>0</v>
      </c>
      <c r="T10" s="26" t="b">
        <v>0</v>
      </c>
      <c r="U10" s="26" t="b">
        <v>0</v>
      </c>
      <c r="V10" s="26" t="b">
        <v>0</v>
      </c>
      <c r="W10" s="26" t="b">
        <v>0</v>
      </c>
      <c r="X10" s="26" t="b">
        <v>0</v>
      </c>
      <c r="Y10" s="26" t="b">
        <v>0</v>
      </c>
      <c r="Z10" s="26" t="b">
        <v>0</v>
      </c>
      <c r="AA10" s="26" t="b">
        <v>0</v>
      </c>
      <c r="AB10" s="26" t="b">
        <v>0</v>
      </c>
      <c r="AC10" s="26" t="b">
        <v>0</v>
      </c>
      <c r="AD10" s="26" t="b">
        <v>0</v>
      </c>
      <c r="AE10" s="26" t="b">
        <v>0</v>
      </c>
      <c r="AF10" s="26" t="b">
        <v>0</v>
      </c>
      <c r="AG10" s="26" t="b">
        <v>0</v>
      </c>
      <c r="AH10" s="26" t="b">
        <v>0</v>
      </c>
      <c r="AI10" s="26" t="b">
        <v>0</v>
      </c>
      <c r="AJ10" s="26" t="b">
        <v>0</v>
      </c>
      <c r="AK10" s="26" t="b">
        <v>0</v>
      </c>
      <c r="AL10" s="26" t="b">
        <v>0</v>
      </c>
      <c r="AM10" s="26" t="b">
        <v>0</v>
      </c>
      <c r="AN10" s="26" t="b">
        <v>0</v>
      </c>
      <c r="AO10" s="26" t="b">
        <v>0</v>
      </c>
      <c r="AP10" s="26" t="b">
        <v>0</v>
      </c>
      <c r="AQ10" s="26" t="b">
        <v>0</v>
      </c>
      <c r="AR10" s="26" t="b">
        <v>0</v>
      </c>
      <c r="AS10" s="26" t="b">
        <v>0</v>
      </c>
      <c r="AT10" s="26" t="b">
        <v>0</v>
      </c>
      <c r="AU10" s="26" t="b">
        <v>0</v>
      </c>
      <c r="AV10" s="26" t="b">
        <v>0</v>
      </c>
      <c r="AW10" s="26" t="b">
        <v>0</v>
      </c>
      <c r="AX10" s="26" t="b">
        <v>0</v>
      </c>
      <c r="AY10" s="26" t="b">
        <v>0</v>
      </c>
      <c r="AZ10" s="26" t="b">
        <v>0</v>
      </c>
      <c r="BA10" s="26" t="b">
        <v>0</v>
      </c>
      <c r="BB10" s="26" t="b">
        <v>0</v>
      </c>
      <c r="BC10" s="26" t="b">
        <v>0</v>
      </c>
      <c r="BD10" s="26" t="b">
        <v>0</v>
      </c>
      <c r="BE10" s="26" t="b">
        <v>0</v>
      </c>
      <c r="BF10" s="26" t="b">
        <v>0</v>
      </c>
      <c r="BG10" s="26" t="b">
        <v>0</v>
      </c>
      <c r="BH10" s="26" t="b">
        <v>0</v>
      </c>
      <c r="BI10" s="26" t="b">
        <v>0</v>
      </c>
      <c r="BJ10" s="26" t="b">
        <v>0</v>
      </c>
      <c r="BK10" s="26" t="b">
        <v>0</v>
      </c>
      <c r="BL10" s="26" t="b">
        <v>0</v>
      </c>
      <c r="BM10" s="26" t="b">
        <v>0</v>
      </c>
      <c r="BN10" s="26" t="b">
        <v>0</v>
      </c>
      <c r="BO10" s="26" t="b">
        <v>0</v>
      </c>
      <c r="BP10" s="26" t="b">
        <v>0</v>
      </c>
      <c r="BQ10" s="26" t="b">
        <v>0</v>
      </c>
      <c r="BR10" s="26" t="b">
        <v>0</v>
      </c>
      <c r="BS10" s="26" t="b">
        <v>0</v>
      </c>
      <c r="BT10" s="26" t="b">
        <v>0</v>
      </c>
      <c r="BU10" s="26" t="b">
        <v>1</v>
      </c>
      <c r="BV10" s="26" t="b">
        <v>0</v>
      </c>
      <c r="BW10" s="26" t="b">
        <v>0</v>
      </c>
      <c r="BX10" s="19">
        <f t="shared" si="2"/>
        <v>31</v>
      </c>
      <c r="BY10" s="20">
        <f t="shared" si="3"/>
        <v>1</v>
      </c>
      <c r="BZ10" s="21">
        <f t="shared" si="4"/>
        <v>0.03225806452</v>
      </c>
      <c r="CA10" s="22" t="str">
        <f t="shared" si="5"/>
        <v>BAD IN NOV</v>
      </c>
      <c r="CB10" s="19">
        <f t="shared" si="6"/>
        <v>37</v>
      </c>
      <c r="CC10" s="20">
        <f t="shared" si="7"/>
        <v>1</v>
      </c>
      <c r="CD10" s="23">
        <f t="shared" si="8"/>
        <v>0.02702702703</v>
      </c>
      <c r="CE10" s="24" t="str">
        <f t="shared" si="9"/>
        <v>Bad in dec</v>
      </c>
      <c r="CF10" s="24" t="str">
        <f t="shared" si="10"/>
        <v>NOT CONNECT</v>
      </c>
    </row>
    <row r="11">
      <c r="A11" s="25" t="s">
        <v>31</v>
      </c>
      <c r="B11" s="26" t="s">
        <v>32</v>
      </c>
      <c r="C11" s="27">
        <v>7.415805759E9</v>
      </c>
      <c r="D11" s="25" t="s">
        <v>22</v>
      </c>
      <c r="E11" s="28">
        <f t="shared" si="11"/>
        <v>64</v>
      </c>
      <c r="F11" s="28">
        <f t="shared" si="12"/>
        <v>38</v>
      </c>
      <c r="G11" s="29">
        <f t="shared" si="13"/>
        <v>59</v>
      </c>
      <c r="H11" s="28">
        <f t="shared" si="14"/>
        <v>49</v>
      </c>
      <c r="I11" s="28">
        <f t="shared" si="15"/>
        <v>32</v>
      </c>
      <c r="J11" s="35">
        <f t="shared" si="16"/>
        <v>65.30612245</v>
      </c>
      <c r="K11" s="31"/>
      <c r="L11" s="26" t="b">
        <v>0</v>
      </c>
      <c r="M11" s="26" t="b">
        <v>0</v>
      </c>
      <c r="N11" s="26" t="b">
        <v>1</v>
      </c>
      <c r="O11" s="26" t="b">
        <v>0</v>
      </c>
      <c r="P11" s="26" t="b">
        <v>0</v>
      </c>
      <c r="Q11" s="26" t="b">
        <v>0</v>
      </c>
      <c r="R11" s="26" t="b">
        <v>1</v>
      </c>
      <c r="S11" s="26" t="b">
        <v>0</v>
      </c>
      <c r="T11" s="26" t="b">
        <v>0</v>
      </c>
      <c r="U11" s="26" t="b">
        <v>0</v>
      </c>
      <c r="V11" s="26" t="b">
        <v>0</v>
      </c>
      <c r="W11" s="26" t="b">
        <v>0</v>
      </c>
      <c r="X11" s="26" t="b">
        <v>0</v>
      </c>
      <c r="Y11" s="26" t="b">
        <v>0</v>
      </c>
      <c r="Z11" s="26" t="b">
        <v>0</v>
      </c>
      <c r="AA11" s="26" t="b">
        <v>0</v>
      </c>
      <c r="AB11" s="26" t="b">
        <v>0</v>
      </c>
      <c r="AC11" s="26" t="b">
        <v>0</v>
      </c>
      <c r="AD11" s="26" t="b">
        <v>0</v>
      </c>
      <c r="AE11" s="26" t="b">
        <v>0</v>
      </c>
      <c r="AF11" s="26" t="b">
        <v>1</v>
      </c>
      <c r="AG11" s="26" t="b">
        <v>1</v>
      </c>
      <c r="AH11" s="26" t="b">
        <v>1</v>
      </c>
      <c r="AI11" s="26" t="b">
        <v>0</v>
      </c>
      <c r="AJ11" s="26" t="b">
        <v>1</v>
      </c>
      <c r="AK11" s="26" t="b">
        <v>1</v>
      </c>
      <c r="AL11" s="26" t="b">
        <v>1</v>
      </c>
      <c r="AM11" s="26" t="b">
        <v>1</v>
      </c>
      <c r="AN11" s="26" t="b">
        <v>0</v>
      </c>
      <c r="AO11" s="26" t="b">
        <v>1</v>
      </c>
      <c r="AP11" s="26" t="b">
        <v>1</v>
      </c>
      <c r="AQ11" s="26" t="b">
        <v>0</v>
      </c>
      <c r="AR11" s="26" t="b">
        <v>1</v>
      </c>
      <c r="AS11" s="26" t="b">
        <v>1</v>
      </c>
      <c r="AT11" s="26" t="b">
        <v>0</v>
      </c>
      <c r="AU11" s="26" t="b">
        <v>1</v>
      </c>
      <c r="AV11" s="26" t="b">
        <v>0</v>
      </c>
      <c r="AW11" s="26" t="b">
        <v>0</v>
      </c>
      <c r="AX11" s="26" t="b">
        <v>0</v>
      </c>
      <c r="AY11" s="26" t="b">
        <v>1</v>
      </c>
      <c r="AZ11" s="26" t="b">
        <v>1</v>
      </c>
      <c r="BA11" s="26" t="b">
        <v>1</v>
      </c>
      <c r="BB11" s="26" t="b">
        <v>1</v>
      </c>
      <c r="BC11" s="26" t="b">
        <v>1</v>
      </c>
      <c r="BD11" s="26" t="b">
        <v>1</v>
      </c>
      <c r="BE11" s="26" t="b">
        <v>1</v>
      </c>
      <c r="BF11" s="26" t="b">
        <v>1</v>
      </c>
      <c r="BG11" s="26" t="b">
        <v>1</v>
      </c>
      <c r="BH11" s="26" t="b">
        <v>1</v>
      </c>
      <c r="BI11" s="26" t="b">
        <v>1</v>
      </c>
      <c r="BJ11" s="26" t="b">
        <v>1</v>
      </c>
      <c r="BK11" s="26" t="b">
        <v>1</v>
      </c>
      <c r="BL11" s="26" t="b">
        <v>1</v>
      </c>
      <c r="BM11" s="26" t="b">
        <v>1</v>
      </c>
      <c r="BN11" s="26" t="b">
        <v>1</v>
      </c>
      <c r="BO11" s="26" t="b">
        <v>1</v>
      </c>
      <c r="BP11" s="26" t="b">
        <v>0</v>
      </c>
      <c r="BQ11" s="26" t="b">
        <v>1</v>
      </c>
      <c r="BR11" s="26" t="b">
        <v>1</v>
      </c>
      <c r="BS11" s="26" t="b">
        <v>1</v>
      </c>
      <c r="BT11" s="26" t="b">
        <v>1</v>
      </c>
      <c r="BU11" s="26" t="b">
        <v>1</v>
      </c>
      <c r="BV11" s="26" t="b">
        <v>1</v>
      </c>
      <c r="BW11" s="26" t="b">
        <v>1</v>
      </c>
      <c r="BX11" s="19">
        <f t="shared" si="2"/>
        <v>31</v>
      </c>
      <c r="BY11" s="20">
        <f t="shared" si="3"/>
        <v>26</v>
      </c>
      <c r="BZ11" s="21">
        <f t="shared" si="4"/>
        <v>0.8387096774</v>
      </c>
      <c r="CA11" s="22" t="str">
        <f t="shared" si="5"/>
        <v>GOOD IN NOV</v>
      </c>
      <c r="CB11" s="19">
        <f t="shared" si="6"/>
        <v>37</v>
      </c>
      <c r="CC11" s="20">
        <f t="shared" si="7"/>
        <v>30</v>
      </c>
      <c r="CD11" s="23">
        <f t="shared" si="8"/>
        <v>0.8108108108</v>
      </c>
      <c r="CE11" s="24" t="str">
        <f t="shared" si="9"/>
        <v>Good in dec</v>
      </c>
      <c r="CF11" s="24" t="str">
        <f t="shared" si="10"/>
        <v>NOT CONNECT</v>
      </c>
    </row>
    <row r="12">
      <c r="A12" s="25" t="s">
        <v>33</v>
      </c>
      <c r="B12" s="26" t="s">
        <v>34</v>
      </c>
      <c r="C12" s="27">
        <v>8.109414954E9</v>
      </c>
      <c r="D12" s="25" t="s">
        <v>22</v>
      </c>
      <c r="E12" s="28">
        <f t="shared" si="11"/>
        <v>64</v>
      </c>
      <c r="F12" s="28">
        <f t="shared" si="12"/>
        <v>23</v>
      </c>
      <c r="G12" s="29">
        <f t="shared" si="13"/>
        <v>36</v>
      </c>
      <c r="H12" s="28">
        <f t="shared" si="14"/>
        <v>49</v>
      </c>
      <c r="I12" s="28">
        <f t="shared" si="15"/>
        <v>22</v>
      </c>
      <c r="J12" s="35">
        <f t="shared" si="16"/>
        <v>44.89795918</v>
      </c>
      <c r="K12" s="31"/>
      <c r="L12" s="26" t="b">
        <v>0</v>
      </c>
      <c r="M12" s="26" t="b">
        <v>0</v>
      </c>
      <c r="N12" s="26" t="b">
        <v>0</v>
      </c>
      <c r="O12" s="26" t="b">
        <v>0</v>
      </c>
      <c r="P12" s="26" t="b">
        <v>0</v>
      </c>
      <c r="Q12" s="26" t="b">
        <v>0</v>
      </c>
      <c r="R12" s="26" t="b">
        <v>0</v>
      </c>
      <c r="S12" s="26" t="b">
        <v>0</v>
      </c>
      <c r="T12" s="26" t="b">
        <v>0</v>
      </c>
      <c r="U12" s="26" t="b">
        <v>0</v>
      </c>
      <c r="V12" s="26" t="b">
        <v>0</v>
      </c>
      <c r="W12" s="26" t="b">
        <v>0</v>
      </c>
      <c r="X12" s="26" t="b">
        <v>0</v>
      </c>
      <c r="Y12" s="26" t="b">
        <v>0</v>
      </c>
      <c r="Z12" s="26" t="b">
        <v>0</v>
      </c>
      <c r="AA12" s="26" t="b">
        <v>0</v>
      </c>
      <c r="AB12" s="26" t="b">
        <v>0</v>
      </c>
      <c r="AC12" s="26" t="b">
        <v>1</v>
      </c>
      <c r="AD12" s="26" t="b">
        <v>0</v>
      </c>
      <c r="AE12" s="26" t="b">
        <v>0</v>
      </c>
      <c r="AF12" s="26" t="b">
        <v>1</v>
      </c>
      <c r="AG12" s="26" t="b">
        <v>0</v>
      </c>
      <c r="AH12" s="26" t="b">
        <v>1</v>
      </c>
      <c r="AI12" s="26" t="b">
        <v>0</v>
      </c>
      <c r="AJ12" s="26" t="b">
        <v>1</v>
      </c>
      <c r="AK12" s="26" t="b">
        <v>1</v>
      </c>
      <c r="AL12" s="26" t="b">
        <v>1</v>
      </c>
      <c r="AM12" s="26" t="b">
        <v>0</v>
      </c>
      <c r="AN12" s="26" t="b">
        <v>0</v>
      </c>
      <c r="AO12" s="26" t="b">
        <v>0</v>
      </c>
      <c r="AP12" s="26" t="b">
        <v>1</v>
      </c>
      <c r="AQ12" s="26" t="b">
        <v>0</v>
      </c>
      <c r="AR12" s="26" t="b">
        <v>1</v>
      </c>
      <c r="AS12" s="26" t="b">
        <v>0</v>
      </c>
      <c r="AT12" s="26" t="b">
        <v>0</v>
      </c>
      <c r="AU12" s="26" t="b">
        <v>1</v>
      </c>
      <c r="AV12" s="26" t="b">
        <v>1</v>
      </c>
      <c r="AW12" s="26" t="b">
        <v>0</v>
      </c>
      <c r="AX12" s="26" t="b">
        <v>1</v>
      </c>
      <c r="AY12" s="26" t="b">
        <v>1</v>
      </c>
      <c r="AZ12" s="26" t="b">
        <v>0</v>
      </c>
      <c r="BA12" s="26" t="b">
        <v>1</v>
      </c>
      <c r="BB12" s="26" t="b">
        <v>0</v>
      </c>
      <c r="BC12" s="26" t="b">
        <v>0</v>
      </c>
      <c r="BD12" s="26" t="b">
        <v>1</v>
      </c>
      <c r="BE12" s="26" t="b">
        <v>1</v>
      </c>
      <c r="BF12" s="26" t="b">
        <v>0</v>
      </c>
      <c r="BG12" s="26" t="b">
        <v>1</v>
      </c>
      <c r="BH12" s="26" t="b">
        <v>0</v>
      </c>
      <c r="BI12" s="26" t="b">
        <v>0</v>
      </c>
      <c r="BJ12" s="26" t="b">
        <v>1</v>
      </c>
      <c r="BK12" s="26" t="b">
        <v>0</v>
      </c>
      <c r="BL12" s="26" t="b">
        <v>1</v>
      </c>
      <c r="BM12" s="26" t="b">
        <v>1</v>
      </c>
      <c r="BN12" s="26" t="b">
        <v>0</v>
      </c>
      <c r="BO12" s="26" t="b">
        <v>0</v>
      </c>
      <c r="BP12" s="26" t="b">
        <v>1</v>
      </c>
      <c r="BQ12" s="26" t="b">
        <v>1</v>
      </c>
      <c r="BR12" s="26" t="b">
        <v>1</v>
      </c>
      <c r="BS12" s="26" t="b">
        <v>1</v>
      </c>
      <c r="BT12" s="26" t="b">
        <v>0</v>
      </c>
      <c r="BU12" s="26" t="b">
        <v>0</v>
      </c>
      <c r="BV12" s="26" t="b">
        <v>0</v>
      </c>
      <c r="BW12" s="26" t="b">
        <v>0</v>
      </c>
      <c r="BX12" s="19">
        <f t="shared" si="2"/>
        <v>31</v>
      </c>
      <c r="BY12" s="20">
        <f t="shared" si="3"/>
        <v>15</v>
      </c>
      <c r="BZ12" s="21">
        <f t="shared" si="4"/>
        <v>0.4838709677</v>
      </c>
      <c r="CA12" s="22" t="str">
        <f t="shared" si="5"/>
        <v>BAD IN NOV</v>
      </c>
      <c r="CB12" s="19">
        <f t="shared" si="6"/>
        <v>37</v>
      </c>
      <c r="CC12" s="20">
        <f t="shared" si="7"/>
        <v>17</v>
      </c>
      <c r="CD12" s="23">
        <f t="shared" si="8"/>
        <v>0.4594594595</v>
      </c>
      <c r="CE12" s="24" t="str">
        <f t="shared" si="9"/>
        <v>Good in dec</v>
      </c>
      <c r="CF12" s="24" t="str">
        <f t="shared" si="10"/>
        <v>NOT CONNECT</v>
      </c>
    </row>
    <row r="13">
      <c r="A13" s="25" t="s">
        <v>35</v>
      </c>
      <c r="B13" s="26" t="s">
        <v>36</v>
      </c>
      <c r="C13" s="27">
        <v>7.389634306E9</v>
      </c>
      <c r="D13" s="25" t="s">
        <v>22</v>
      </c>
      <c r="E13" s="28">
        <f t="shared" si="11"/>
        <v>64</v>
      </c>
      <c r="F13" s="28">
        <f t="shared" si="12"/>
        <v>42</v>
      </c>
      <c r="G13" s="29">
        <f t="shared" si="13"/>
        <v>66</v>
      </c>
      <c r="H13" s="28">
        <f t="shared" si="14"/>
        <v>49</v>
      </c>
      <c r="I13" s="28">
        <f t="shared" si="15"/>
        <v>40</v>
      </c>
      <c r="J13" s="30">
        <f t="shared" si="16"/>
        <v>81.63265306</v>
      </c>
      <c r="K13" s="31"/>
      <c r="L13" s="26" t="b">
        <v>1</v>
      </c>
      <c r="M13" s="26" t="b">
        <v>1</v>
      </c>
      <c r="N13" s="26" t="b">
        <v>1</v>
      </c>
      <c r="O13" s="26" t="b">
        <v>1</v>
      </c>
      <c r="P13" s="26" t="b">
        <v>1</v>
      </c>
      <c r="Q13" s="26" t="b">
        <v>1</v>
      </c>
      <c r="R13" s="26" t="b">
        <v>0</v>
      </c>
      <c r="S13" s="26" t="b">
        <v>0</v>
      </c>
      <c r="T13" s="26" t="b">
        <v>1</v>
      </c>
      <c r="U13" s="26" t="b">
        <v>0</v>
      </c>
      <c r="V13" s="26" t="b">
        <v>1</v>
      </c>
      <c r="W13" s="26" t="b">
        <v>1</v>
      </c>
      <c r="X13" s="26" t="b">
        <v>0</v>
      </c>
      <c r="Y13" s="26" t="b">
        <v>1</v>
      </c>
      <c r="Z13" s="26" t="b">
        <v>0</v>
      </c>
      <c r="AA13" s="26" t="b">
        <v>1</v>
      </c>
      <c r="AB13" s="26" t="b">
        <v>1</v>
      </c>
      <c r="AC13" s="26" t="b">
        <v>1</v>
      </c>
      <c r="AD13" s="26" t="b">
        <v>0</v>
      </c>
      <c r="AE13" s="26" t="b">
        <v>1</v>
      </c>
      <c r="AF13" s="26" t="b">
        <v>1</v>
      </c>
      <c r="AG13" s="26" t="b">
        <v>0</v>
      </c>
      <c r="AH13" s="26" t="b">
        <v>1</v>
      </c>
      <c r="AI13" s="26" t="b">
        <v>0</v>
      </c>
      <c r="AJ13" s="26" t="b">
        <v>1</v>
      </c>
      <c r="AK13" s="26" t="b">
        <v>1</v>
      </c>
      <c r="AL13" s="26" t="b">
        <v>1</v>
      </c>
      <c r="AM13" s="26" t="b">
        <v>1</v>
      </c>
      <c r="AN13" s="26" t="b">
        <v>0</v>
      </c>
      <c r="AO13" s="26" t="b">
        <v>1</v>
      </c>
      <c r="AP13" s="26" t="b">
        <v>1</v>
      </c>
      <c r="AQ13" s="26" t="b">
        <v>0</v>
      </c>
      <c r="AR13" s="26" t="b">
        <v>1</v>
      </c>
      <c r="AS13" s="26" t="b">
        <v>1</v>
      </c>
      <c r="AT13" s="26" t="b">
        <v>0</v>
      </c>
      <c r="AU13" s="26" t="b">
        <v>1</v>
      </c>
      <c r="AV13" s="26" t="b">
        <v>1</v>
      </c>
      <c r="AW13" s="26" t="b">
        <v>0</v>
      </c>
      <c r="AX13" s="26" t="b">
        <v>1</v>
      </c>
      <c r="AY13" s="26" t="b">
        <v>0</v>
      </c>
      <c r="AZ13" s="26" t="b">
        <v>0</v>
      </c>
      <c r="BA13" s="26" t="b">
        <v>1</v>
      </c>
      <c r="BB13" s="26" t="b">
        <v>0</v>
      </c>
      <c r="BC13" s="26" t="b">
        <v>0</v>
      </c>
      <c r="BD13" s="26" t="b">
        <v>0</v>
      </c>
      <c r="BE13" s="26" t="b">
        <v>1</v>
      </c>
      <c r="BF13" s="26" t="b">
        <v>0</v>
      </c>
      <c r="BG13" s="26" t="b">
        <v>1</v>
      </c>
      <c r="BH13" s="26" t="b">
        <v>1</v>
      </c>
      <c r="BI13" s="26" t="b">
        <v>0</v>
      </c>
      <c r="BJ13" s="26" t="b">
        <v>1</v>
      </c>
      <c r="BK13" s="26" t="b">
        <v>0</v>
      </c>
      <c r="BL13" s="26" t="b">
        <v>1</v>
      </c>
      <c r="BM13" s="26" t="b">
        <v>1</v>
      </c>
      <c r="BN13" s="26" t="b">
        <v>0</v>
      </c>
      <c r="BO13" s="26" t="b">
        <v>1</v>
      </c>
      <c r="BP13" s="26" t="b">
        <v>1</v>
      </c>
      <c r="BQ13" s="26" t="b">
        <v>1</v>
      </c>
      <c r="BR13" s="26" t="b">
        <v>1</v>
      </c>
      <c r="BS13" s="26" t="b">
        <v>1</v>
      </c>
      <c r="BT13" s="26" t="b">
        <v>0</v>
      </c>
      <c r="BU13" s="26" t="b">
        <v>1</v>
      </c>
      <c r="BV13" s="26" t="b">
        <v>1</v>
      </c>
      <c r="BW13" s="26" t="b">
        <v>1</v>
      </c>
      <c r="BX13" s="19">
        <f t="shared" si="2"/>
        <v>31</v>
      </c>
      <c r="BY13" s="20">
        <f t="shared" si="3"/>
        <v>19</v>
      </c>
      <c r="BZ13" s="21">
        <f t="shared" si="4"/>
        <v>0.6129032258</v>
      </c>
      <c r="CA13" s="22" t="str">
        <f t="shared" si="5"/>
        <v>GOOD IN NOV</v>
      </c>
      <c r="CB13" s="19">
        <f t="shared" si="6"/>
        <v>37</v>
      </c>
      <c r="CC13" s="20">
        <f t="shared" si="7"/>
        <v>23</v>
      </c>
      <c r="CD13" s="23">
        <f t="shared" si="8"/>
        <v>0.6216216216</v>
      </c>
      <c r="CE13" s="24" t="str">
        <f t="shared" si="9"/>
        <v>Good in dec</v>
      </c>
      <c r="CF13" s="24" t="str">
        <f t="shared" si="10"/>
        <v>NOT CONNECT</v>
      </c>
    </row>
    <row r="14">
      <c r="A14" s="25" t="s">
        <v>37</v>
      </c>
      <c r="B14" s="26" t="s">
        <v>38</v>
      </c>
      <c r="C14" s="27">
        <v>7.691949111E9</v>
      </c>
      <c r="D14" s="25" t="s">
        <v>22</v>
      </c>
      <c r="E14" s="28">
        <f t="shared" si="11"/>
        <v>64</v>
      </c>
      <c r="F14" s="28">
        <f t="shared" si="12"/>
        <v>0</v>
      </c>
      <c r="G14" s="29">
        <f t="shared" si="13"/>
        <v>0</v>
      </c>
      <c r="H14" s="28">
        <f t="shared" si="14"/>
        <v>49</v>
      </c>
      <c r="I14" s="28">
        <f t="shared" si="15"/>
        <v>0</v>
      </c>
      <c r="J14" s="35">
        <f t="shared" si="16"/>
        <v>0</v>
      </c>
      <c r="K14" s="31"/>
      <c r="L14" s="26" t="b">
        <v>0</v>
      </c>
      <c r="M14" s="26" t="b">
        <v>0</v>
      </c>
      <c r="N14" s="26" t="b">
        <v>0</v>
      </c>
      <c r="O14" s="26" t="b">
        <v>0</v>
      </c>
      <c r="P14" s="26" t="b">
        <v>0</v>
      </c>
      <c r="Q14" s="26" t="b">
        <v>0</v>
      </c>
      <c r="R14" s="26" t="b">
        <v>0</v>
      </c>
      <c r="S14" s="26" t="b">
        <v>0</v>
      </c>
      <c r="T14" s="26" t="b">
        <v>0</v>
      </c>
      <c r="U14" s="26" t="b">
        <v>0</v>
      </c>
      <c r="V14" s="26" t="b">
        <v>0</v>
      </c>
      <c r="W14" s="26" t="b">
        <v>0</v>
      </c>
      <c r="X14" s="26" t="b">
        <v>0</v>
      </c>
      <c r="Y14" s="26" t="b">
        <v>0</v>
      </c>
      <c r="Z14" s="26" t="b">
        <v>0</v>
      </c>
      <c r="AA14" s="26" t="b">
        <v>0</v>
      </c>
      <c r="AB14" s="26" t="b">
        <v>0</v>
      </c>
      <c r="AC14" s="26" t="b">
        <v>0</v>
      </c>
      <c r="AD14" s="26" t="b">
        <v>0</v>
      </c>
      <c r="AE14" s="26" t="b">
        <v>0</v>
      </c>
      <c r="AF14" s="26" t="b">
        <v>0</v>
      </c>
      <c r="AG14" s="26" t="b">
        <v>0</v>
      </c>
      <c r="AH14" s="26" t="b">
        <v>0</v>
      </c>
      <c r="AI14" s="26" t="b">
        <v>0</v>
      </c>
      <c r="AJ14" s="26" t="b">
        <v>0</v>
      </c>
      <c r="AK14" s="26" t="b">
        <v>0</v>
      </c>
      <c r="AL14" s="26" t="b">
        <v>0</v>
      </c>
      <c r="AM14" s="26" t="b">
        <v>0</v>
      </c>
      <c r="AN14" s="26" t="b">
        <v>0</v>
      </c>
      <c r="AO14" s="26" t="b">
        <v>0</v>
      </c>
      <c r="AP14" s="26" t="b">
        <v>0</v>
      </c>
      <c r="AQ14" s="26" t="b">
        <v>0</v>
      </c>
      <c r="AR14" s="26" t="b">
        <v>0</v>
      </c>
      <c r="AS14" s="26" t="b">
        <v>0</v>
      </c>
      <c r="AT14" s="26" t="b">
        <v>0</v>
      </c>
      <c r="AU14" s="26" t="b">
        <v>0</v>
      </c>
      <c r="AV14" s="26" t="b">
        <v>0</v>
      </c>
      <c r="AW14" s="26" t="b">
        <v>0</v>
      </c>
      <c r="AX14" s="26" t="b">
        <v>0</v>
      </c>
      <c r="AY14" s="26" t="b">
        <v>0</v>
      </c>
      <c r="AZ14" s="26" t="b">
        <v>0</v>
      </c>
      <c r="BA14" s="26" t="b">
        <v>0</v>
      </c>
      <c r="BB14" s="26" t="b">
        <v>0</v>
      </c>
      <c r="BC14" s="26" t="b">
        <v>0</v>
      </c>
      <c r="BD14" s="26" t="b">
        <v>0</v>
      </c>
      <c r="BE14" s="26" t="b">
        <v>0</v>
      </c>
      <c r="BF14" s="26" t="b">
        <v>0</v>
      </c>
      <c r="BG14" s="26" t="b">
        <v>0</v>
      </c>
      <c r="BH14" s="26" t="b">
        <v>0</v>
      </c>
      <c r="BI14" s="26" t="b">
        <v>0</v>
      </c>
      <c r="BJ14" s="26" t="b">
        <v>0</v>
      </c>
      <c r="BK14" s="26" t="b">
        <v>0</v>
      </c>
      <c r="BL14" s="26" t="b">
        <v>0</v>
      </c>
      <c r="BM14" s="26" t="b">
        <v>0</v>
      </c>
      <c r="BN14" s="26" t="b">
        <v>0</v>
      </c>
      <c r="BO14" s="26" t="b">
        <v>0</v>
      </c>
      <c r="BP14" s="26" t="b">
        <v>0</v>
      </c>
      <c r="BQ14" s="26" t="b">
        <v>0</v>
      </c>
      <c r="BR14" s="26" t="b">
        <v>0</v>
      </c>
      <c r="BS14" s="26" t="b">
        <v>0</v>
      </c>
      <c r="BT14" s="26" t="b">
        <v>0</v>
      </c>
      <c r="BU14" s="26" t="b">
        <v>0</v>
      </c>
      <c r="BV14" s="26" t="b">
        <v>0</v>
      </c>
      <c r="BW14" s="26" t="b">
        <v>0</v>
      </c>
      <c r="BX14" s="19">
        <f t="shared" si="2"/>
        <v>31</v>
      </c>
      <c r="BY14" s="20">
        <f t="shared" si="3"/>
        <v>0</v>
      </c>
      <c r="BZ14" s="21">
        <f t="shared" si="4"/>
        <v>0</v>
      </c>
      <c r="CA14" s="22" t="str">
        <f t="shared" si="5"/>
        <v>BAD IN NOV</v>
      </c>
      <c r="CB14" s="19">
        <f t="shared" si="6"/>
        <v>37</v>
      </c>
      <c r="CC14" s="20">
        <f t="shared" si="7"/>
        <v>0</v>
      </c>
      <c r="CD14" s="23">
        <f t="shared" si="8"/>
        <v>0</v>
      </c>
      <c r="CE14" s="24" t="str">
        <f t="shared" si="9"/>
        <v>Bad in dec</v>
      </c>
      <c r="CF14" s="24" t="str">
        <f t="shared" si="10"/>
        <v>NOT CONNECT</v>
      </c>
    </row>
    <row r="15">
      <c r="A15" s="25" t="s">
        <v>39</v>
      </c>
      <c r="B15" s="26" t="s">
        <v>40</v>
      </c>
      <c r="C15" s="27">
        <v>8.815188336E9</v>
      </c>
      <c r="D15" s="25" t="s">
        <v>22</v>
      </c>
      <c r="E15" s="28">
        <f t="shared" si="11"/>
        <v>64</v>
      </c>
      <c r="F15" s="28">
        <f t="shared" si="12"/>
        <v>38</v>
      </c>
      <c r="G15" s="29">
        <f t="shared" si="13"/>
        <v>59</v>
      </c>
      <c r="H15" s="28">
        <f t="shared" si="14"/>
        <v>49</v>
      </c>
      <c r="I15" s="28">
        <f t="shared" si="15"/>
        <v>32</v>
      </c>
      <c r="J15" s="35">
        <f t="shared" si="16"/>
        <v>65.30612245</v>
      </c>
      <c r="K15" s="31"/>
      <c r="L15" s="26" t="b">
        <v>0</v>
      </c>
      <c r="M15" s="26" t="b">
        <v>0</v>
      </c>
      <c r="N15" s="26" t="b">
        <v>0</v>
      </c>
      <c r="O15" s="26" t="b">
        <v>0</v>
      </c>
      <c r="P15" s="26" t="b">
        <v>1</v>
      </c>
      <c r="Q15" s="26" t="b">
        <v>1</v>
      </c>
      <c r="R15" s="26" t="b">
        <v>0</v>
      </c>
      <c r="S15" s="26" t="b">
        <v>0</v>
      </c>
      <c r="T15" s="26" t="b">
        <v>0</v>
      </c>
      <c r="U15" s="26" t="b">
        <v>0</v>
      </c>
      <c r="V15" s="26" t="b">
        <v>0</v>
      </c>
      <c r="W15" s="26" t="b">
        <v>0</v>
      </c>
      <c r="X15" s="26" t="b">
        <v>0</v>
      </c>
      <c r="Y15" s="26" t="b">
        <v>0</v>
      </c>
      <c r="Z15" s="26" t="b">
        <v>1</v>
      </c>
      <c r="AA15" s="26" t="b">
        <v>0</v>
      </c>
      <c r="AB15" s="26" t="b">
        <v>1</v>
      </c>
      <c r="AC15" s="26" t="b">
        <v>0</v>
      </c>
      <c r="AD15" s="26" t="b">
        <v>0</v>
      </c>
      <c r="AE15" s="26" t="b">
        <v>0</v>
      </c>
      <c r="AF15" s="26" t="b">
        <v>1</v>
      </c>
      <c r="AG15" s="26" t="b">
        <v>0</v>
      </c>
      <c r="AH15" s="26" t="b">
        <v>1</v>
      </c>
      <c r="AI15" s="26" t="b">
        <v>1</v>
      </c>
      <c r="AJ15" s="26" t="b">
        <v>1</v>
      </c>
      <c r="AK15" s="26" t="b">
        <v>1</v>
      </c>
      <c r="AL15" s="26" t="b">
        <v>1</v>
      </c>
      <c r="AM15" s="26" t="b">
        <v>1</v>
      </c>
      <c r="AN15" s="26" t="b">
        <v>0</v>
      </c>
      <c r="AO15" s="26" t="b">
        <v>1</v>
      </c>
      <c r="AP15" s="26" t="b">
        <v>1</v>
      </c>
      <c r="AQ15" s="26" t="b">
        <v>0</v>
      </c>
      <c r="AR15" s="26" t="b">
        <v>1</v>
      </c>
      <c r="AS15" s="26" t="b">
        <v>1</v>
      </c>
      <c r="AT15" s="26" t="b">
        <v>0</v>
      </c>
      <c r="AU15" s="26" t="b">
        <v>1</v>
      </c>
      <c r="AV15" s="26" t="b">
        <v>0</v>
      </c>
      <c r="AW15" s="26" t="b">
        <v>0</v>
      </c>
      <c r="AX15" s="26" t="b">
        <v>0</v>
      </c>
      <c r="AY15" s="26" t="b">
        <v>1</v>
      </c>
      <c r="AZ15" s="26" t="b">
        <v>1</v>
      </c>
      <c r="BA15" s="26" t="b">
        <v>1</v>
      </c>
      <c r="BB15" s="26" t="b">
        <v>0</v>
      </c>
      <c r="BC15" s="26" t="b">
        <v>1</v>
      </c>
      <c r="BD15" s="26" t="b">
        <v>1</v>
      </c>
      <c r="BE15" s="26" t="b">
        <v>1</v>
      </c>
      <c r="BF15" s="26" t="b">
        <v>1</v>
      </c>
      <c r="BG15" s="26" t="b">
        <v>1</v>
      </c>
      <c r="BH15" s="26" t="b">
        <v>1</v>
      </c>
      <c r="BI15" s="26" t="b">
        <v>1</v>
      </c>
      <c r="BJ15" s="26" t="b">
        <v>1</v>
      </c>
      <c r="BK15" s="26" t="b">
        <v>1</v>
      </c>
      <c r="BL15" s="26" t="b">
        <v>1</v>
      </c>
      <c r="BM15" s="26" t="b">
        <v>1</v>
      </c>
      <c r="BN15" s="26" t="b">
        <v>1</v>
      </c>
      <c r="BO15" s="26" t="b">
        <v>1</v>
      </c>
      <c r="BP15" s="26" t="b">
        <v>1</v>
      </c>
      <c r="BQ15" s="26" t="b">
        <v>0</v>
      </c>
      <c r="BR15" s="26" t="b">
        <v>1</v>
      </c>
      <c r="BS15" s="26" t="b">
        <v>1</v>
      </c>
      <c r="BT15" s="26" t="b">
        <v>1</v>
      </c>
      <c r="BU15" s="26" t="b">
        <v>1</v>
      </c>
      <c r="BV15" s="26" t="b">
        <v>0</v>
      </c>
      <c r="BW15" s="26" t="b">
        <v>1</v>
      </c>
      <c r="BX15" s="19">
        <f t="shared" si="2"/>
        <v>31</v>
      </c>
      <c r="BY15" s="20">
        <f t="shared" si="3"/>
        <v>24</v>
      </c>
      <c r="BZ15" s="21">
        <f t="shared" si="4"/>
        <v>0.7741935484</v>
      </c>
      <c r="CA15" s="22" t="str">
        <f t="shared" si="5"/>
        <v>GOOD IN NOV</v>
      </c>
      <c r="CB15" s="19">
        <f t="shared" si="6"/>
        <v>37</v>
      </c>
      <c r="CC15" s="20">
        <f t="shared" si="7"/>
        <v>28</v>
      </c>
      <c r="CD15" s="23">
        <f t="shared" si="8"/>
        <v>0.7567567568</v>
      </c>
      <c r="CE15" s="24" t="str">
        <f t="shared" si="9"/>
        <v>Good in dec</v>
      </c>
      <c r="CF15" s="24" t="str">
        <f t="shared" si="10"/>
        <v>NOT CONNECT</v>
      </c>
    </row>
    <row r="16">
      <c r="A16" s="25" t="s">
        <v>41</v>
      </c>
      <c r="B16" s="26" t="s">
        <v>42</v>
      </c>
      <c r="C16" s="27">
        <v>9.301892983E9</v>
      </c>
      <c r="D16" s="25" t="s">
        <v>22</v>
      </c>
      <c r="E16" s="28">
        <f t="shared" si="11"/>
        <v>64</v>
      </c>
      <c r="F16" s="28">
        <f t="shared" si="12"/>
        <v>18</v>
      </c>
      <c r="G16" s="29">
        <f t="shared" si="13"/>
        <v>28</v>
      </c>
      <c r="H16" s="28">
        <f t="shared" si="14"/>
        <v>49</v>
      </c>
      <c r="I16" s="28">
        <f t="shared" si="15"/>
        <v>15</v>
      </c>
      <c r="J16" s="35">
        <f t="shared" si="16"/>
        <v>30.6122449</v>
      </c>
      <c r="K16" s="31"/>
      <c r="L16" s="26" t="b">
        <v>0</v>
      </c>
      <c r="M16" s="26" t="b">
        <v>0</v>
      </c>
      <c r="N16" s="26" t="b">
        <v>0</v>
      </c>
      <c r="O16" s="26" t="b">
        <v>0</v>
      </c>
      <c r="P16" s="26" t="b">
        <v>0</v>
      </c>
      <c r="Q16" s="26" t="b">
        <v>0</v>
      </c>
      <c r="R16" s="26" t="b">
        <v>0</v>
      </c>
      <c r="S16" s="26" t="b">
        <v>0</v>
      </c>
      <c r="T16" s="26" t="b">
        <v>0</v>
      </c>
      <c r="U16" s="26" t="b">
        <v>0</v>
      </c>
      <c r="V16" s="26" t="b">
        <v>0</v>
      </c>
      <c r="W16" s="26" t="b">
        <v>0</v>
      </c>
      <c r="X16" s="26" t="b">
        <v>0</v>
      </c>
      <c r="Y16" s="26" t="b">
        <v>0</v>
      </c>
      <c r="Z16" s="26" t="b">
        <v>0</v>
      </c>
      <c r="AA16" s="26" t="b">
        <v>0</v>
      </c>
      <c r="AB16" s="26" t="b">
        <v>0</v>
      </c>
      <c r="AC16" s="26" t="b">
        <v>0</v>
      </c>
      <c r="AD16" s="26" t="b">
        <v>0</v>
      </c>
      <c r="AE16" s="26" t="b">
        <v>0</v>
      </c>
      <c r="AF16" s="26" t="b">
        <v>0</v>
      </c>
      <c r="AG16" s="26" t="b">
        <v>0</v>
      </c>
      <c r="AH16" s="26" t="b">
        <v>0</v>
      </c>
      <c r="AI16" s="26" t="b">
        <v>0</v>
      </c>
      <c r="AJ16" s="26" t="b">
        <v>0</v>
      </c>
      <c r="AK16" s="26" t="b">
        <v>0</v>
      </c>
      <c r="AL16" s="26" t="b">
        <v>0</v>
      </c>
      <c r="AM16" s="26" t="b">
        <v>1</v>
      </c>
      <c r="AN16" s="26" t="b">
        <v>0</v>
      </c>
      <c r="AO16" s="26" t="b">
        <v>1</v>
      </c>
      <c r="AP16" s="26" t="b">
        <v>0</v>
      </c>
      <c r="AQ16" s="26" t="b">
        <v>0</v>
      </c>
      <c r="AR16" s="26" t="b">
        <v>0</v>
      </c>
      <c r="AS16" s="26" t="b">
        <v>0</v>
      </c>
      <c r="AT16" s="26" t="b">
        <v>0</v>
      </c>
      <c r="AU16" s="26" t="b">
        <v>0</v>
      </c>
      <c r="AV16" s="26" t="b">
        <v>1</v>
      </c>
      <c r="AW16" s="26" t="b">
        <v>0</v>
      </c>
      <c r="AX16" s="26" t="b">
        <v>1</v>
      </c>
      <c r="AY16" s="26" t="b">
        <v>1</v>
      </c>
      <c r="AZ16" s="26" t="b">
        <v>0</v>
      </c>
      <c r="BA16" s="26" t="b">
        <v>1</v>
      </c>
      <c r="BB16" s="26" t="b">
        <v>1</v>
      </c>
      <c r="BC16" s="26" t="b">
        <v>0</v>
      </c>
      <c r="BD16" s="26" t="b">
        <v>0</v>
      </c>
      <c r="BE16" s="26" t="b">
        <v>1</v>
      </c>
      <c r="BF16" s="26" t="b">
        <v>1</v>
      </c>
      <c r="BG16" s="26" t="b">
        <v>1</v>
      </c>
      <c r="BH16" s="26" t="b">
        <v>1</v>
      </c>
      <c r="BI16" s="26" t="b">
        <v>1</v>
      </c>
      <c r="BJ16" s="26" t="b">
        <v>1</v>
      </c>
      <c r="BK16" s="26" t="b">
        <v>1</v>
      </c>
      <c r="BL16" s="26" t="b">
        <v>1</v>
      </c>
      <c r="BM16" s="26" t="b">
        <v>1</v>
      </c>
      <c r="BN16" s="26" t="b">
        <v>0</v>
      </c>
      <c r="BO16" s="26" t="b">
        <v>0</v>
      </c>
      <c r="BP16" s="26" t="b">
        <v>1</v>
      </c>
      <c r="BQ16" s="26" t="b">
        <v>1</v>
      </c>
      <c r="BR16" s="26" t="b">
        <v>0</v>
      </c>
      <c r="BS16" s="26" t="b">
        <v>0</v>
      </c>
      <c r="BT16" s="26" t="b">
        <v>0</v>
      </c>
      <c r="BU16" s="26" t="b">
        <v>0</v>
      </c>
      <c r="BV16" s="26" t="b">
        <v>0</v>
      </c>
      <c r="BW16" s="26" t="b">
        <v>0</v>
      </c>
      <c r="BX16" s="19">
        <f t="shared" si="2"/>
        <v>31</v>
      </c>
      <c r="BY16" s="20">
        <f t="shared" si="3"/>
        <v>16</v>
      </c>
      <c r="BZ16" s="21">
        <f t="shared" si="4"/>
        <v>0.5161290323</v>
      </c>
      <c r="CA16" s="22" t="str">
        <f t="shared" si="5"/>
        <v>BAD IN NOV</v>
      </c>
      <c r="CB16" s="19">
        <f t="shared" si="6"/>
        <v>37</v>
      </c>
      <c r="CC16" s="20">
        <f t="shared" si="7"/>
        <v>18</v>
      </c>
      <c r="CD16" s="23">
        <f t="shared" si="8"/>
        <v>0.4864864865</v>
      </c>
      <c r="CE16" s="24" t="str">
        <f t="shared" si="9"/>
        <v>Good in dec</v>
      </c>
      <c r="CF16" s="24" t="str">
        <f t="shared" si="10"/>
        <v>NOT CONNECT</v>
      </c>
    </row>
    <row r="17">
      <c r="A17" s="25" t="s">
        <v>43</v>
      </c>
      <c r="B17" s="33" t="s">
        <v>44</v>
      </c>
      <c r="C17" s="27">
        <v>7.691903352E9</v>
      </c>
      <c r="D17" s="25" t="s">
        <v>22</v>
      </c>
      <c r="E17" s="28">
        <f t="shared" si="11"/>
        <v>64</v>
      </c>
      <c r="F17" s="28">
        <f t="shared" si="12"/>
        <v>57</v>
      </c>
      <c r="G17" s="32">
        <f t="shared" si="13"/>
        <v>89</v>
      </c>
      <c r="H17" s="28">
        <f t="shared" si="14"/>
        <v>49</v>
      </c>
      <c r="I17" s="28">
        <f t="shared" si="15"/>
        <v>49</v>
      </c>
      <c r="J17" s="30">
        <f t="shared" si="16"/>
        <v>100</v>
      </c>
      <c r="K17" s="31"/>
      <c r="L17" s="26" t="b">
        <v>1</v>
      </c>
      <c r="M17" s="26" t="b">
        <v>1</v>
      </c>
      <c r="N17" s="26" t="b">
        <v>1</v>
      </c>
      <c r="O17" s="26" t="b">
        <v>1</v>
      </c>
      <c r="P17" s="26" t="b">
        <v>1</v>
      </c>
      <c r="Q17" s="26" t="b">
        <v>1</v>
      </c>
      <c r="R17" s="26" t="b">
        <v>1</v>
      </c>
      <c r="S17" s="26" t="b">
        <v>1</v>
      </c>
      <c r="T17" s="26" t="b">
        <v>1</v>
      </c>
      <c r="U17" s="26" t="b">
        <v>0</v>
      </c>
      <c r="V17" s="26" t="b">
        <v>1</v>
      </c>
      <c r="W17" s="26" t="b">
        <v>1</v>
      </c>
      <c r="X17" s="26" t="b">
        <v>0</v>
      </c>
      <c r="Y17" s="26" t="b">
        <v>1</v>
      </c>
      <c r="Z17" s="26" t="b">
        <v>1</v>
      </c>
      <c r="AA17" s="26" t="b">
        <v>1</v>
      </c>
      <c r="AB17" s="26" t="b">
        <v>1</v>
      </c>
      <c r="AC17" s="26" t="b">
        <v>1</v>
      </c>
      <c r="AD17" s="26" t="b">
        <v>0</v>
      </c>
      <c r="AE17" s="26" t="b">
        <v>1</v>
      </c>
      <c r="AF17" s="26" t="b">
        <v>1</v>
      </c>
      <c r="AG17" s="26" t="b">
        <v>0</v>
      </c>
      <c r="AH17" s="26" t="b">
        <v>1</v>
      </c>
      <c r="AI17" s="26" t="b">
        <v>0</v>
      </c>
      <c r="AJ17" s="26" t="b">
        <v>1</v>
      </c>
      <c r="AK17" s="26" t="b">
        <v>1</v>
      </c>
      <c r="AL17" s="26" t="b">
        <v>1</v>
      </c>
      <c r="AM17" s="26" t="b">
        <v>1</v>
      </c>
      <c r="AN17" s="26" t="b">
        <v>0</v>
      </c>
      <c r="AO17" s="26" t="b">
        <v>1</v>
      </c>
      <c r="AP17" s="26" t="b">
        <v>1</v>
      </c>
      <c r="AQ17" s="26" t="b">
        <v>0</v>
      </c>
      <c r="AR17" s="26" t="b">
        <v>1</v>
      </c>
      <c r="AS17" s="26" t="b">
        <v>1</v>
      </c>
      <c r="AT17" s="26" t="b">
        <v>1</v>
      </c>
      <c r="AU17" s="26" t="b">
        <v>1</v>
      </c>
      <c r="AV17" s="26" t="b">
        <v>1</v>
      </c>
      <c r="AW17" s="26" t="b">
        <v>1</v>
      </c>
      <c r="AX17" s="26" t="b">
        <v>1</v>
      </c>
      <c r="AY17" s="26" t="b">
        <v>1</v>
      </c>
      <c r="AZ17" s="26" t="b">
        <v>1</v>
      </c>
      <c r="BA17" s="26" t="b">
        <v>1</v>
      </c>
      <c r="BB17" s="26" t="b">
        <v>1</v>
      </c>
      <c r="BC17" s="26" t="b">
        <v>1</v>
      </c>
      <c r="BD17" s="26" t="b">
        <v>1</v>
      </c>
      <c r="BE17" s="26" t="b">
        <v>1</v>
      </c>
      <c r="BF17" s="26" t="b">
        <v>1</v>
      </c>
      <c r="BG17" s="26" t="b">
        <v>1</v>
      </c>
      <c r="BH17" s="26" t="b">
        <v>1</v>
      </c>
      <c r="BI17" s="26" t="b">
        <v>1</v>
      </c>
      <c r="BJ17" s="26" t="b">
        <v>1</v>
      </c>
      <c r="BK17" s="26" t="b">
        <v>1</v>
      </c>
      <c r="BL17" s="26" t="b">
        <v>1</v>
      </c>
      <c r="BM17" s="26" t="b">
        <v>1</v>
      </c>
      <c r="BN17" s="26" t="b">
        <v>1</v>
      </c>
      <c r="BO17" s="26" t="b">
        <v>1</v>
      </c>
      <c r="BP17" s="26" t="b">
        <v>1</v>
      </c>
      <c r="BQ17" s="26" t="b">
        <v>1</v>
      </c>
      <c r="BR17" s="26" t="b">
        <v>1</v>
      </c>
      <c r="BS17" s="26" t="b">
        <v>1</v>
      </c>
      <c r="BT17" s="26" t="b">
        <v>1</v>
      </c>
      <c r="BU17" s="26" t="b">
        <v>1</v>
      </c>
      <c r="BV17" s="26" t="b">
        <v>1</v>
      </c>
      <c r="BW17" s="26" t="b">
        <v>1</v>
      </c>
      <c r="BX17" s="19">
        <f t="shared" si="2"/>
        <v>31</v>
      </c>
      <c r="BY17" s="20">
        <f t="shared" si="3"/>
        <v>31</v>
      </c>
      <c r="BZ17" s="21">
        <f t="shared" si="4"/>
        <v>1</v>
      </c>
      <c r="CA17" s="22" t="str">
        <f t="shared" si="5"/>
        <v>GOOD IN NOV</v>
      </c>
      <c r="CB17" s="19">
        <f t="shared" si="6"/>
        <v>37</v>
      </c>
      <c r="CC17" s="20">
        <f t="shared" si="7"/>
        <v>35</v>
      </c>
      <c r="CD17" s="23">
        <f t="shared" si="8"/>
        <v>0.9459459459</v>
      </c>
      <c r="CE17" s="24" t="str">
        <f t="shared" si="9"/>
        <v>Good in dec</v>
      </c>
      <c r="CF17" s="24" t="str">
        <f t="shared" si="10"/>
        <v>NOT CONNECT</v>
      </c>
    </row>
    <row r="18">
      <c r="A18" s="25" t="s">
        <v>45</v>
      </c>
      <c r="B18" s="26" t="s">
        <v>46</v>
      </c>
      <c r="C18" s="27">
        <v>9.098904715E9</v>
      </c>
      <c r="D18" s="25" t="s">
        <v>22</v>
      </c>
      <c r="E18" s="28">
        <f t="shared" si="11"/>
        <v>62</v>
      </c>
      <c r="F18" s="28">
        <f t="shared" si="12"/>
        <v>38</v>
      </c>
      <c r="G18" s="29">
        <f t="shared" si="13"/>
        <v>61</v>
      </c>
      <c r="H18" s="28">
        <f t="shared" si="14"/>
        <v>47</v>
      </c>
      <c r="I18" s="28">
        <f t="shared" si="15"/>
        <v>34</v>
      </c>
      <c r="J18" s="30">
        <f t="shared" si="16"/>
        <v>72.34042553</v>
      </c>
      <c r="K18" s="31"/>
      <c r="L18" s="26" t="b">
        <v>1</v>
      </c>
      <c r="M18" s="26" t="b">
        <v>1</v>
      </c>
      <c r="N18" s="26" t="b">
        <v>1</v>
      </c>
      <c r="O18" s="26" t="b">
        <v>0</v>
      </c>
      <c r="P18" s="26" t="b">
        <v>1</v>
      </c>
      <c r="Q18" s="26" t="b">
        <v>1</v>
      </c>
      <c r="R18" s="26" t="b">
        <v>0</v>
      </c>
      <c r="S18" s="26" t="b">
        <v>1</v>
      </c>
      <c r="T18" s="26" t="b">
        <v>0</v>
      </c>
      <c r="U18" s="26" t="b">
        <v>0</v>
      </c>
      <c r="V18" s="26" t="b">
        <v>1</v>
      </c>
      <c r="W18" s="26" t="b">
        <v>1</v>
      </c>
      <c r="X18" s="26" t="b">
        <v>0</v>
      </c>
      <c r="Y18" s="26" t="b">
        <v>1</v>
      </c>
      <c r="Z18" s="26" t="b">
        <v>1</v>
      </c>
      <c r="AA18" s="26" t="b">
        <v>1</v>
      </c>
      <c r="AB18" s="26" t="b">
        <v>1</v>
      </c>
      <c r="AC18" s="26" t="b">
        <v>0</v>
      </c>
      <c r="AD18" s="26" t="b">
        <v>0</v>
      </c>
      <c r="AE18" s="26" t="b">
        <v>0</v>
      </c>
      <c r="AF18" s="26" t="b">
        <v>1</v>
      </c>
      <c r="AG18" s="26" t="b">
        <v>0</v>
      </c>
      <c r="AH18" s="26" t="b">
        <v>1</v>
      </c>
      <c r="AI18" s="26" t="b">
        <v>0</v>
      </c>
      <c r="AJ18" s="26" t="b">
        <v>1</v>
      </c>
      <c r="AK18" s="26" t="b">
        <v>1</v>
      </c>
      <c r="AL18" s="26" t="b">
        <v>1</v>
      </c>
      <c r="AM18" s="26" t="b">
        <v>1</v>
      </c>
      <c r="AN18" s="26" t="b">
        <v>0</v>
      </c>
      <c r="AO18" s="26" t="b">
        <v>1</v>
      </c>
      <c r="AP18" s="26" t="b">
        <v>1</v>
      </c>
      <c r="AQ18" s="26" t="b">
        <v>0</v>
      </c>
      <c r="AR18" s="26" t="b">
        <v>1</v>
      </c>
      <c r="AS18" s="26" t="b">
        <v>1</v>
      </c>
      <c r="AT18" s="26" t="b">
        <v>0</v>
      </c>
      <c r="AU18" s="26" t="b">
        <v>1</v>
      </c>
      <c r="AV18" s="26" t="b">
        <v>0</v>
      </c>
      <c r="AW18" s="26" t="b">
        <v>1</v>
      </c>
      <c r="AX18" s="26" t="b">
        <v>1</v>
      </c>
      <c r="AY18" s="26" t="b">
        <v>1</v>
      </c>
      <c r="AZ18" s="26" t="b">
        <v>1</v>
      </c>
      <c r="BA18" s="26" t="b">
        <v>1</v>
      </c>
      <c r="BB18" s="26" t="b">
        <v>1</v>
      </c>
      <c r="BC18" s="26" t="b">
        <v>0</v>
      </c>
      <c r="BD18" s="26" t="b">
        <v>1</v>
      </c>
      <c r="BE18" s="26" t="b">
        <v>1</v>
      </c>
      <c r="BF18" s="26" t="b">
        <v>0</v>
      </c>
      <c r="BG18" s="26" t="b">
        <v>0</v>
      </c>
      <c r="BH18" s="26" t="b">
        <v>1</v>
      </c>
      <c r="BI18" s="26" t="b">
        <v>1</v>
      </c>
      <c r="BJ18" s="26" t="b">
        <v>1</v>
      </c>
      <c r="BK18" s="26" t="b">
        <v>0</v>
      </c>
      <c r="BL18" s="26" t="b">
        <v>0</v>
      </c>
      <c r="BM18" s="26" t="b">
        <v>0</v>
      </c>
      <c r="BN18" s="26" t="b">
        <v>1</v>
      </c>
      <c r="BO18" s="26" t="b">
        <v>1</v>
      </c>
      <c r="BP18" s="26" t="b">
        <v>1</v>
      </c>
      <c r="BQ18" s="26" t="b">
        <v>0</v>
      </c>
      <c r="BR18" s="26" t="b">
        <v>0</v>
      </c>
      <c r="BS18" s="26" t="b">
        <v>1</v>
      </c>
      <c r="BT18" s="26" t="b">
        <v>0</v>
      </c>
      <c r="BU18" s="26" t="b">
        <v>0</v>
      </c>
      <c r="BV18" s="31"/>
      <c r="BW18" s="31"/>
      <c r="BX18" s="19">
        <f t="shared" si="2"/>
        <v>29</v>
      </c>
      <c r="BY18" s="20">
        <f t="shared" si="3"/>
        <v>17</v>
      </c>
      <c r="BZ18" s="21">
        <f t="shared" si="4"/>
        <v>0.5862068966</v>
      </c>
      <c r="CA18" s="22" t="str">
        <f t="shared" si="5"/>
        <v>BAD IN NOV</v>
      </c>
      <c r="CB18" s="19">
        <f t="shared" si="6"/>
        <v>35</v>
      </c>
      <c r="CC18" s="20">
        <f t="shared" si="7"/>
        <v>21</v>
      </c>
      <c r="CD18" s="23">
        <f t="shared" si="8"/>
        <v>0.6</v>
      </c>
      <c r="CE18" s="24" t="str">
        <f t="shared" si="9"/>
        <v>Good in dec</v>
      </c>
      <c r="CF18" s="24" t="str">
        <f t="shared" si="10"/>
        <v>NOT CONNECT</v>
      </c>
    </row>
    <row r="19">
      <c r="A19" s="25" t="s">
        <v>47</v>
      </c>
      <c r="B19" s="26" t="s">
        <v>48</v>
      </c>
      <c r="C19" s="27">
        <v>6.265046873E9</v>
      </c>
      <c r="D19" s="25" t="s">
        <v>22</v>
      </c>
      <c r="E19" s="28">
        <f t="shared" si="11"/>
        <v>64</v>
      </c>
      <c r="F19" s="28">
        <f t="shared" si="12"/>
        <v>27</v>
      </c>
      <c r="G19" s="29">
        <f t="shared" si="13"/>
        <v>42</v>
      </c>
      <c r="H19" s="28">
        <f t="shared" si="14"/>
        <v>49</v>
      </c>
      <c r="I19" s="28">
        <f t="shared" si="15"/>
        <v>24</v>
      </c>
      <c r="J19" s="35">
        <f t="shared" si="16"/>
        <v>48.97959184</v>
      </c>
      <c r="K19" s="31"/>
      <c r="L19" s="26" t="b">
        <v>0</v>
      </c>
      <c r="M19" s="26" t="b">
        <v>0</v>
      </c>
      <c r="N19" s="26" t="b">
        <v>0</v>
      </c>
      <c r="O19" s="26" t="b">
        <v>0</v>
      </c>
      <c r="P19" s="26" t="b">
        <v>0</v>
      </c>
      <c r="Q19" s="26" t="b">
        <v>0</v>
      </c>
      <c r="R19" s="26" t="b">
        <v>0</v>
      </c>
      <c r="S19" s="26" t="b">
        <v>0</v>
      </c>
      <c r="T19" s="26" t="b">
        <v>1</v>
      </c>
      <c r="U19" s="26" t="b">
        <v>0</v>
      </c>
      <c r="V19" s="26" t="b">
        <v>1</v>
      </c>
      <c r="W19" s="26" t="b">
        <v>1</v>
      </c>
      <c r="X19" s="26" t="b">
        <v>1</v>
      </c>
      <c r="Y19" s="26" t="b">
        <v>1</v>
      </c>
      <c r="Z19" s="26" t="b">
        <v>1</v>
      </c>
      <c r="AA19" s="26" t="b">
        <v>1</v>
      </c>
      <c r="AB19" s="26" t="b">
        <v>1</v>
      </c>
      <c r="AC19" s="26" t="b">
        <v>0</v>
      </c>
      <c r="AD19" s="26" t="b">
        <v>0</v>
      </c>
      <c r="AE19" s="26" t="b">
        <v>1</v>
      </c>
      <c r="AF19" s="26" t="b">
        <v>0</v>
      </c>
      <c r="AG19" s="26" t="b">
        <v>0</v>
      </c>
      <c r="AH19" s="26" t="b">
        <v>1</v>
      </c>
      <c r="AI19" s="26" t="b">
        <v>0</v>
      </c>
      <c r="AJ19" s="26" t="b">
        <v>1</v>
      </c>
      <c r="AK19" s="26" t="b">
        <v>1</v>
      </c>
      <c r="AL19" s="26" t="b">
        <v>0</v>
      </c>
      <c r="AM19" s="26" t="b">
        <v>1</v>
      </c>
      <c r="AN19" s="26" t="b">
        <v>0</v>
      </c>
      <c r="AO19" s="26" t="b">
        <v>1</v>
      </c>
      <c r="AP19" s="26" t="b">
        <v>1</v>
      </c>
      <c r="AQ19" s="26" t="b">
        <v>0</v>
      </c>
      <c r="AR19" s="26" t="b">
        <v>1</v>
      </c>
      <c r="AS19" s="26" t="b">
        <v>0</v>
      </c>
      <c r="AT19" s="26" t="b">
        <v>0</v>
      </c>
      <c r="AU19" s="26" t="b">
        <v>1</v>
      </c>
      <c r="AV19" s="26" t="b">
        <v>1</v>
      </c>
      <c r="AW19" s="26" t="b">
        <v>0</v>
      </c>
      <c r="AX19" s="26" t="b">
        <v>1</v>
      </c>
      <c r="AY19" s="26" t="b">
        <v>1</v>
      </c>
      <c r="AZ19" s="26" t="b">
        <v>0</v>
      </c>
      <c r="BA19" s="26" t="b">
        <v>1</v>
      </c>
      <c r="BB19" s="26" t="b">
        <v>1</v>
      </c>
      <c r="BC19" s="26" t="b">
        <v>0</v>
      </c>
      <c r="BD19" s="26" t="b">
        <v>0</v>
      </c>
      <c r="BE19" s="26" t="b">
        <v>0</v>
      </c>
      <c r="BF19" s="26" t="b">
        <v>1</v>
      </c>
      <c r="BG19" s="26" t="b">
        <v>1</v>
      </c>
      <c r="BH19" s="26" t="b">
        <v>0</v>
      </c>
      <c r="BI19" s="26" t="b">
        <v>0</v>
      </c>
      <c r="BJ19" s="26" t="b">
        <v>0</v>
      </c>
      <c r="BK19" s="26" t="b">
        <v>0</v>
      </c>
      <c r="BL19" s="26" t="b">
        <v>0</v>
      </c>
      <c r="BM19" s="26" t="b">
        <v>0</v>
      </c>
      <c r="BN19" s="26" t="b">
        <v>0</v>
      </c>
      <c r="BO19" s="26" t="b">
        <v>0</v>
      </c>
      <c r="BP19" s="26" t="b">
        <v>0</v>
      </c>
      <c r="BQ19" s="26" t="b">
        <v>1</v>
      </c>
      <c r="BR19" s="26" t="b">
        <v>1</v>
      </c>
      <c r="BS19" s="26" t="b">
        <v>1</v>
      </c>
      <c r="BT19" s="26" t="b">
        <v>0</v>
      </c>
      <c r="BU19" s="26" t="b">
        <v>0</v>
      </c>
      <c r="BV19" s="26" t="b">
        <v>0</v>
      </c>
      <c r="BW19" s="26" t="b">
        <v>0</v>
      </c>
      <c r="BX19" s="19">
        <f t="shared" si="2"/>
        <v>31</v>
      </c>
      <c r="BY19" s="20">
        <f t="shared" si="3"/>
        <v>11</v>
      </c>
      <c r="BZ19" s="21">
        <f t="shared" si="4"/>
        <v>0.3548387097</v>
      </c>
      <c r="CA19" s="22" t="str">
        <f t="shared" si="5"/>
        <v>BAD IN NOV</v>
      </c>
      <c r="CB19" s="19">
        <f t="shared" si="6"/>
        <v>37</v>
      </c>
      <c r="CC19" s="20">
        <f t="shared" si="7"/>
        <v>15</v>
      </c>
      <c r="CD19" s="23">
        <f t="shared" si="8"/>
        <v>0.4054054054</v>
      </c>
      <c r="CE19" s="24" t="str">
        <f t="shared" si="9"/>
        <v>Good in dec</v>
      </c>
      <c r="CF19" s="24" t="str">
        <f t="shared" si="10"/>
        <v>NOT CONNECT</v>
      </c>
    </row>
    <row r="20">
      <c r="A20" s="25" t="s">
        <v>49</v>
      </c>
      <c r="B20" s="26" t="s">
        <v>50</v>
      </c>
      <c r="C20" s="27">
        <v>9.669099261E9</v>
      </c>
      <c r="D20" s="25" t="s">
        <v>22</v>
      </c>
      <c r="E20" s="28">
        <f t="shared" si="11"/>
        <v>64</v>
      </c>
      <c r="F20" s="28">
        <f t="shared" si="12"/>
        <v>42</v>
      </c>
      <c r="G20" s="29">
        <f t="shared" si="13"/>
        <v>66</v>
      </c>
      <c r="H20" s="28">
        <f t="shared" si="14"/>
        <v>49</v>
      </c>
      <c r="I20" s="28">
        <f t="shared" si="15"/>
        <v>38</v>
      </c>
      <c r="J20" s="30">
        <f t="shared" si="16"/>
        <v>77.55102041</v>
      </c>
      <c r="K20" s="31"/>
      <c r="L20" s="26" t="b">
        <v>1</v>
      </c>
      <c r="M20" s="26" t="b">
        <v>1</v>
      </c>
      <c r="N20" s="26" t="b">
        <v>0</v>
      </c>
      <c r="O20" s="26" t="b">
        <v>1</v>
      </c>
      <c r="P20" s="26" t="b">
        <v>0</v>
      </c>
      <c r="Q20" s="26" t="b">
        <v>1</v>
      </c>
      <c r="R20" s="26" t="b">
        <v>1</v>
      </c>
      <c r="S20" s="26" t="b">
        <v>1</v>
      </c>
      <c r="T20" s="26" t="b">
        <v>1</v>
      </c>
      <c r="U20" s="26" t="b">
        <v>0</v>
      </c>
      <c r="V20" s="26" t="b">
        <v>1</v>
      </c>
      <c r="W20" s="26" t="b">
        <v>1</v>
      </c>
      <c r="X20" s="26" t="b">
        <v>0</v>
      </c>
      <c r="Y20" s="26" t="b">
        <v>1</v>
      </c>
      <c r="Z20" s="26" t="b">
        <v>1</v>
      </c>
      <c r="AA20" s="26" t="b">
        <v>0</v>
      </c>
      <c r="AB20" s="26" t="b">
        <v>1</v>
      </c>
      <c r="AC20" s="26" t="b">
        <v>1</v>
      </c>
      <c r="AD20" s="26" t="b">
        <v>0</v>
      </c>
      <c r="AE20" s="26" t="b">
        <v>1</v>
      </c>
      <c r="AF20" s="26" t="b">
        <v>1</v>
      </c>
      <c r="AG20" s="26" t="b">
        <v>0</v>
      </c>
      <c r="AH20" s="26" t="b">
        <v>1</v>
      </c>
      <c r="AI20" s="26" t="b">
        <v>0</v>
      </c>
      <c r="AJ20" s="26" t="b">
        <v>0</v>
      </c>
      <c r="AK20" s="26" t="b">
        <v>1</v>
      </c>
      <c r="AL20" s="26" t="b">
        <v>1</v>
      </c>
      <c r="AM20" s="26" t="b">
        <v>1</v>
      </c>
      <c r="AN20" s="26" t="b">
        <v>0</v>
      </c>
      <c r="AO20" s="26" t="b">
        <v>1</v>
      </c>
      <c r="AP20" s="26" t="b">
        <v>1</v>
      </c>
      <c r="AQ20" s="26" t="b">
        <v>0</v>
      </c>
      <c r="AR20" s="26" t="b">
        <v>1</v>
      </c>
      <c r="AS20" s="26" t="b">
        <v>0</v>
      </c>
      <c r="AT20" s="26" t="b">
        <v>0</v>
      </c>
      <c r="AU20" s="26" t="b">
        <v>1</v>
      </c>
      <c r="AV20" s="26" t="b">
        <v>0</v>
      </c>
      <c r="AW20" s="26" t="b">
        <v>0</v>
      </c>
      <c r="AX20" s="26" t="b">
        <v>1</v>
      </c>
      <c r="AY20" s="26" t="b">
        <v>1</v>
      </c>
      <c r="AZ20" s="26" t="b">
        <v>0</v>
      </c>
      <c r="BA20" s="26" t="b">
        <v>0</v>
      </c>
      <c r="BB20" s="26" t="b">
        <v>1</v>
      </c>
      <c r="BC20" s="26" t="b">
        <v>1</v>
      </c>
      <c r="BD20" s="26" t="b">
        <v>1</v>
      </c>
      <c r="BE20" s="26" t="b">
        <v>1</v>
      </c>
      <c r="BF20" s="26" t="b">
        <v>1</v>
      </c>
      <c r="BG20" s="26" t="b">
        <v>1</v>
      </c>
      <c r="BH20" s="26" t="b">
        <v>1</v>
      </c>
      <c r="BI20" s="26" t="b">
        <v>1</v>
      </c>
      <c r="BJ20" s="26" t="b">
        <v>1</v>
      </c>
      <c r="BK20" s="26" t="b">
        <v>1</v>
      </c>
      <c r="BL20" s="26" t="b">
        <v>1</v>
      </c>
      <c r="BM20" s="26" t="b">
        <v>1</v>
      </c>
      <c r="BN20" s="26" t="b">
        <v>0</v>
      </c>
      <c r="BO20" s="26" t="b">
        <v>1</v>
      </c>
      <c r="BP20" s="26" t="b">
        <v>1</v>
      </c>
      <c r="BQ20" s="26" t="b">
        <v>1</v>
      </c>
      <c r="BR20" s="26" t="b">
        <v>1</v>
      </c>
      <c r="BS20" s="26" t="b">
        <v>1</v>
      </c>
      <c r="BT20" s="26" t="b">
        <v>0</v>
      </c>
      <c r="BU20" s="26" t="b">
        <v>0</v>
      </c>
      <c r="BV20" s="26" t="b">
        <v>0</v>
      </c>
      <c r="BW20" s="26" t="b">
        <v>0</v>
      </c>
      <c r="BX20" s="19">
        <f t="shared" si="2"/>
        <v>31</v>
      </c>
      <c r="BY20" s="20">
        <f t="shared" si="3"/>
        <v>20</v>
      </c>
      <c r="BZ20" s="21">
        <f t="shared" si="4"/>
        <v>0.6451612903</v>
      </c>
      <c r="CA20" s="22" t="str">
        <f t="shared" si="5"/>
        <v>GOOD IN NOV</v>
      </c>
      <c r="CB20" s="19">
        <f t="shared" si="6"/>
        <v>37</v>
      </c>
      <c r="CC20" s="20">
        <f t="shared" si="7"/>
        <v>24</v>
      </c>
      <c r="CD20" s="23">
        <f t="shared" si="8"/>
        <v>0.6486486486</v>
      </c>
      <c r="CE20" s="24" t="str">
        <f t="shared" si="9"/>
        <v>Good in dec</v>
      </c>
      <c r="CF20" s="24" t="str">
        <f t="shared" si="10"/>
        <v>NOT CONNECT</v>
      </c>
    </row>
    <row r="21">
      <c r="A21" s="25" t="s">
        <v>51</v>
      </c>
      <c r="B21" s="26" t="s">
        <v>52</v>
      </c>
      <c r="C21" s="27">
        <v>7.724016227E9</v>
      </c>
      <c r="D21" s="25" t="s">
        <v>22</v>
      </c>
      <c r="E21" s="28">
        <f t="shared" si="11"/>
        <v>64</v>
      </c>
      <c r="F21" s="28">
        <f t="shared" si="12"/>
        <v>50</v>
      </c>
      <c r="G21" s="32">
        <f t="shared" si="13"/>
        <v>78</v>
      </c>
      <c r="H21" s="28">
        <f t="shared" si="14"/>
        <v>49</v>
      </c>
      <c r="I21" s="28">
        <f t="shared" si="15"/>
        <v>44</v>
      </c>
      <c r="J21" s="30">
        <f t="shared" si="16"/>
        <v>89.79591837</v>
      </c>
      <c r="K21" s="31"/>
      <c r="L21" s="26" t="b">
        <v>1</v>
      </c>
      <c r="M21" s="26" t="b">
        <v>1</v>
      </c>
      <c r="N21" s="26" t="b">
        <v>0</v>
      </c>
      <c r="O21" s="26" t="b">
        <v>1</v>
      </c>
      <c r="P21" s="26" t="b">
        <v>1</v>
      </c>
      <c r="Q21" s="26" t="b">
        <v>1</v>
      </c>
      <c r="R21" s="26" t="b">
        <v>0</v>
      </c>
      <c r="S21" s="26" t="b">
        <v>0</v>
      </c>
      <c r="T21" s="26" t="b">
        <v>1</v>
      </c>
      <c r="U21" s="26" t="b">
        <v>0</v>
      </c>
      <c r="V21" s="26" t="b">
        <v>1</v>
      </c>
      <c r="W21" s="26" t="b">
        <v>1</v>
      </c>
      <c r="X21" s="26" t="b">
        <v>0</v>
      </c>
      <c r="Y21" s="26" t="b">
        <v>1</v>
      </c>
      <c r="Z21" s="26" t="b">
        <v>1</v>
      </c>
      <c r="AA21" s="26" t="b">
        <v>0</v>
      </c>
      <c r="AB21" s="26" t="b">
        <v>0</v>
      </c>
      <c r="AC21" s="26" t="b">
        <v>1</v>
      </c>
      <c r="AD21" s="26" t="b">
        <v>0</v>
      </c>
      <c r="AE21" s="26" t="b">
        <v>1</v>
      </c>
      <c r="AF21" s="26" t="b">
        <v>1</v>
      </c>
      <c r="AG21" s="26" t="b">
        <v>0</v>
      </c>
      <c r="AH21" s="26" t="b">
        <v>1</v>
      </c>
      <c r="AI21" s="26" t="b">
        <v>0</v>
      </c>
      <c r="AJ21" s="26" t="b">
        <v>1</v>
      </c>
      <c r="AK21" s="26" t="b">
        <v>1</v>
      </c>
      <c r="AL21" s="26" t="b">
        <v>1</v>
      </c>
      <c r="AM21" s="26" t="b">
        <v>1</v>
      </c>
      <c r="AN21" s="26" t="b">
        <v>0</v>
      </c>
      <c r="AO21" s="26" t="b">
        <v>1</v>
      </c>
      <c r="AP21" s="26" t="b">
        <v>1</v>
      </c>
      <c r="AQ21" s="26" t="b">
        <v>1</v>
      </c>
      <c r="AR21" s="26" t="b">
        <v>1</v>
      </c>
      <c r="AS21" s="26" t="b">
        <v>1</v>
      </c>
      <c r="AT21" s="26" t="b">
        <v>1</v>
      </c>
      <c r="AU21" s="26" t="b">
        <v>1</v>
      </c>
      <c r="AV21" s="26" t="b">
        <v>1</v>
      </c>
      <c r="AW21" s="26" t="b">
        <v>0</v>
      </c>
      <c r="AX21" s="26" t="b">
        <v>0</v>
      </c>
      <c r="AY21" s="26" t="b">
        <v>1</v>
      </c>
      <c r="AZ21" s="26" t="b">
        <v>1</v>
      </c>
      <c r="BA21" s="26" t="b">
        <v>1</v>
      </c>
      <c r="BB21" s="26" t="b">
        <v>1</v>
      </c>
      <c r="BC21" s="26" t="b">
        <v>1</v>
      </c>
      <c r="BD21" s="26" t="b">
        <v>1</v>
      </c>
      <c r="BE21" s="26" t="b">
        <v>1</v>
      </c>
      <c r="BF21" s="26" t="b">
        <v>0</v>
      </c>
      <c r="BG21" s="26" t="b">
        <v>1</v>
      </c>
      <c r="BH21" s="26" t="b">
        <v>1</v>
      </c>
      <c r="BI21" s="26" t="b">
        <v>1</v>
      </c>
      <c r="BJ21" s="26" t="b">
        <v>1</v>
      </c>
      <c r="BK21" s="26" t="b">
        <v>1</v>
      </c>
      <c r="BL21" s="26" t="b">
        <v>1</v>
      </c>
      <c r="BM21" s="26" t="b">
        <v>1</v>
      </c>
      <c r="BN21" s="26" t="b">
        <v>1</v>
      </c>
      <c r="BO21" s="26" t="b">
        <v>1</v>
      </c>
      <c r="BP21" s="26" t="b">
        <v>1</v>
      </c>
      <c r="BQ21" s="26" t="b">
        <v>1</v>
      </c>
      <c r="BR21" s="26" t="b">
        <v>1</v>
      </c>
      <c r="BS21" s="26" t="b">
        <v>1</v>
      </c>
      <c r="BT21" s="26" t="b">
        <v>1</v>
      </c>
      <c r="BU21" s="26" t="b">
        <v>1</v>
      </c>
      <c r="BV21" s="26" t="b">
        <v>1</v>
      </c>
      <c r="BW21" s="26" t="b">
        <v>1</v>
      </c>
      <c r="BX21" s="19">
        <f t="shared" si="2"/>
        <v>31</v>
      </c>
      <c r="BY21" s="20">
        <f t="shared" si="3"/>
        <v>28</v>
      </c>
      <c r="BZ21" s="21">
        <f t="shared" si="4"/>
        <v>0.9032258065</v>
      </c>
      <c r="CA21" s="22" t="str">
        <f t="shared" si="5"/>
        <v>GOOD IN NOV</v>
      </c>
      <c r="CB21" s="19">
        <f t="shared" si="6"/>
        <v>37</v>
      </c>
      <c r="CC21" s="20">
        <f t="shared" si="7"/>
        <v>33</v>
      </c>
      <c r="CD21" s="23">
        <f t="shared" si="8"/>
        <v>0.8918918919</v>
      </c>
      <c r="CE21" s="24" t="str">
        <f t="shared" si="9"/>
        <v>Good in dec</v>
      </c>
      <c r="CF21" s="24" t="str">
        <f t="shared" si="10"/>
        <v>NOT CONNECT</v>
      </c>
    </row>
    <row r="22">
      <c r="A22" s="25" t="s">
        <v>53</v>
      </c>
      <c r="B22" s="26" t="s">
        <v>54</v>
      </c>
      <c r="C22" s="27">
        <v>7.566364655E9</v>
      </c>
      <c r="D22" s="25" t="s">
        <v>22</v>
      </c>
      <c r="E22" s="28">
        <f t="shared" si="11"/>
        <v>64</v>
      </c>
      <c r="F22" s="28">
        <f t="shared" si="12"/>
        <v>31</v>
      </c>
      <c r="G22" s="29">
        <f t="shared" si="13"/>
        <v>48</v>
      </c>
      <c r="H22" s="28">
        <f t="shared" si="14"/>
        <v>49</v>
      </c>
      <c r="I22" s="28">
        <f t="shared" si="15"/>
        <v>30</v>
      </c>
      <c r="J22" s="35">
        <f t="shared" si="16"/>
        <v>61.2244898</v>
      </c>
      <c r="K22" s="31"/>
      <c r="L22" s="26" t="b">
        <v>0</v>
      </c>
      <c r="M22" s="26" t="b">
        <v>0</v>
      </c>
      <c r="N22" s="26" t="b">
        <v>1</v>
      </c>
      <c r="O22" s="26" t="b">
        <v>0</v>
      </c>
      <c r="P22" s="26" t="b">
        <v>0</v>
      </c>
      <c r="Q22" s="26" t="b">
        <v>0</v>
      </c>
      <c r="R22" s="26" t="b">
        <v>1</v>
      </c>
      <c r="S22" s="26" t="b">
        <v>1</v>
      </c>
      <c r="T22" s="26" t="b">
        <v>1</v>
      </c>
      <c r="U22" s="26" t="b">
        <v>0</v>
      </c>
      <c r="V22" s="26" t="b">
        <v>1</v>
      </c>
      <c r="W22" s="26" t="b">
        <v>1</v>
      </c>
      <c r="X22" s="26" t="b">
        <v>0</v>
      </c>
      <c r="Y22" s="26" t="b">
        <v>1</v>
      </c>
      <c r="Z22" s="26" t="b">
        <v>1</v>
      </c>
      <c r="AA22" s="26" t="b">
        <v>0</v>
      </c>
      <c r="AB22" s="26" t="b">
        <v>1</v>
      </c>
      <c r="AC22" s="26" t="b">
        <v>1</v>
      </c>
      <c r="AD22" s="26" t="b">
        <v>0</v>
      </c>
      <c r="AE22" s="26" t="b">
        <v>1</v>
      </c>
      <c r="AF22" s="26" t="b">
        <v>1</v>
      </c>
      <c r="AG22" s="26" t="b">
        <v>0</v>
      </c>
      <c r="AH22" s="26" t="b">
        <v>1</v>
      </c>
      <c r="AI22" s="26" t="b">
        <v>0</v>
      </c>
      <c r="AJ22" s="26" t="b">
        <v>1</v>
      </c>
      <c r="AK22" s="26" t="b">
        <v>1</v>
      </c>
      <c r="AL22" s="26" t="b">
        <v>1</v>
      </c>
      <c r="AM22" s="26" t="b">
        <v>0</v>
      </c>
      <c r="AN22" s="26" t="b">
        <v>0</v>
      </c>
      <c r="AO22" s="26" t="b">
        <v>0</v>
      </c>
      <c r="AP22" s="26" t="b">
        <v>1</v>
      </c>
      <c r="AQ22" s="26" t="b">
        <v>0</v>
      </c>
      <c r="AR22" s="26" t="b">
        <v>1</v>
      </c>
      <c r="AS22" s="26" t="b">
        <v>0</v>
      </c>
      <c r="AT22" s="26" t="b">
        <v>0</v>
      </c>
      <c r="AU22" s="26" t="b">
        <v>0</v>
      </c>
      <c r="AV22" s="26" t="b">
        <v>0</v>
      </c>
      <c r="AW22" s="26" t="b">
        <v>0</v>
      </c>
      <c r="AX22" s="26" t="b">
        <v>1</v>
      </c>
      <c r="AY22" s="26" t="b">
        <v>1</v>
      </c>
      <c r="AZ22" s="26" t="b">
        <v>0</v>
      </c>
      <c r="BA22" s="26" t="b">
        <v>1</v>
      </c>
      <c r="BB22" s="26" t="b">
        <v>0</v>
      </c>
      <c r="BC22" s="26" t="b">
        <v>0</v>
      </c>
      <c r="BD22" s="26" t="b">
        <v>1</v>
      </c>
      <c r="BE22" s="26" t="b">
        <v>1</v>
      </c>
      <c r="BF22" s="26" t="b">
        <v>0</v>
      </c>
      <c r="BG22" s="26" t="b">
        <v>1</v>
      </c>
      <c r="BH22" s="26" t="b">
        <v>1</v>
      </c>
      <c r="BI22" s="26" t="b">
        <v>1</v>
      </c>
      <c r="BJ22" s="26" t="b">
        <v>1</v>
      </c>
      <c r="BK22" s="26" t="b">
        <v>0</v>
      </c>
      <c r="BL22" s="26" t="b">
        <v>0</v>
      </c>
      <c r="BM22" s="26" t="b">
        <v>0</v>
      </c>
      <c r="BN22" s="26" t="b">
        <v>1</v>
      </c>
      <c r="BO22" s="26" t="b">
        <v>1</v>
      </c>
      <c r="BP22" s="26" t="b">
        <v>0</v>
      </c>
      <c r="BQ22" s="26" t="b">
        <v>1</v>
      </c>
      <c r="BR22" s="26" t="b">
        <v>0</v>
      </c>
      <c r="BS22" s="26" t="b">
        <v>0</v>
      </c>
      <c r="BT22" s="26" t="b">
        <v>1</v>
      </c>
      <c r="BU22" s="26" t="b">
        <v>0</v>
      </c>
      <c r="BV22" s="26" t="b">
        <v>0</v>
      </c>
      <c r="BW22" s="26" t="b">
        <v>0</v>
      </c>
      <c r="BX22" s="19">
        <f t="shared" si="2"/>
        <v>31</v>
      </c>
      <c r="BY22" s="20">
        <f t="shared" si="3"/>
        <v>13</v>
      </c>
      <c r="BZ22" s="21">
        <f t="shared" si="4"/>
        <v>0.4193548387</v>
      </c>
      <c r="CA22" s="22" t="str">
        <f t="shared" si="5"/>
        <v>BAD IN NOV</v>
      </c>
      <c r="CB22" s="19">
        <f t="shared" si="6"/>
        <v>37</v>
      </c>
      <c r="CC22" s="20">
        <f t="shared" si="7"/>
        <v>15</v>
      </c>
      <c r="CD22" s="23">
        <f t="shared" si="8"/>
        <v>0.4054054054</v>
      </c>
      <c r="CE22" s="24" t="str">
        <f t="shared" si="9"/>
        <v>Good in dec</v>
      </c>
      <c r="CF22" s="24" t="str">
        <f t="shared" si="10"/>
        <v>NOT CONNECT</v>
      </c>
    </row>
    <row r="23">
      <c r="A23" s="25" t="s">
        <v>55</v>
      </c>
      <c r="B23" s="26" t="s">
        <v>56</v>
      </c>
      <c r="C23" s="27">
        <v>8.30556334E9</v>
      </c>
      <c r="D23" s="25" t="s">
        <v>22</v>
      </c>
      <c r="E23" s="28">
        <f t="shared" si="11"/>
        <v>64</v>
      </c>
      <c r="F23" s="28">
        <f t="shared" si="12"/>
        <v>36</v>
      </c>
      <c r="G23" s="29">
        <f t="shared" si="13"/>
        <v>56</v>
      </c>
      <c r="H23" s="28">
        <f t="shared" si="14"/>
        <v>49</v>
      </c>
      <c r="I23" s="28">
        <f t="shared" si="15"/>
        <v>34</v>
      </c>
      <c r="J23" s="35">
        <f t="shared" si="16"/>
        <v>69.3877551</v>
      </c>
      <c r="K23" s="31"/>
      <c r="L23" s="26" t="b">
        <v>0</v>
      </c>
      <c r="M23" s="26" t="b">
        <v>0</v>
      </c>
      <c r="N23" s="26" t="b">
        <v>0</v>
      </c>
      <c r="O23" s="26" t="b">
        <v>0</v>
      </c>
      <c r="P23" s="26" t="b">
        <v>1</v>
      </c>
      <c r="Q23" s="26" t="b">
        <v>1</v>
      </c>
      <c r="R23" s="26" t="b">
        <v>1</v>
      </c>
      <c r="S23" s="26" t="b">
        <v>0</v>
      </c>
      <c r="T23" s="26" t="b">
        <v>0</v>
      </c>
      <c r="U23" s="26" t="b">
        <v>0</v>
      </c>
      <c r="V23" s="26" t="b">
        <v>1</v>
      </c>
      <c r="W23" s="26" t="b">
        <v>1</v>
      </c>
      <c r="X23" s="26" t="b">
        <v>0</v>
      </c>
      <c r="Y23" s="26" t="b">
        <v>1</v>
      </c>
      <c r="Z23" s="26" t="b">
        <v>1</v>
      </c>
      <c r="AA23" s="26" t="b">
        <v>0</v>
      </c>
      <c r="AB23" s="26" t="b">
        <v>1</v>
      </c>
      <c r="AC23" s="26" t="b">
        <v>0</v>
      </c>
      <c r="AD23" s="26" t="b">
        <v>0</v>
      </c>
      <c r="AE23" s="26" t="b">
        <v>0</v>
      </c>
      <c r="AF23" s="26" t="b">
        <v>1</v>
      </c>
      <c r="AG23" s="26" t="b">
        <v>0</v>
      </c>
      <c r="AH23" s="26" t="b">
        <v>1</v>
      </c>
      <c r="AI23" s="26" t="b">
        <v>0</v>
      </c>
      <c r="AJ23" s="26" t="b">
        <v>1</v>
      </c>
      <c r="AK23" s="26" t="b">
        <v>1</v>
      </c>
      <c r="AL23" s="26" t="b">
        <v>1</v>
      </c>
      <c r="AM23" s="26" t="b">
        <v>1</v>
      </c>
      <c r="AN23" s="26" t="b">
        <v>0</v>
      </c>
      <c r="AO23" s="26" t="b">
        <v>1</v>
      </c>
      <c r="AP23" s="26" t="b">
        <v>1</v>
      </c>
      <c r="AQ23" s="26" t="b">
        <v>1</v>
      </c>
      <c r="AR23" s="26" t="b">
        <v>1</v>
      </c>
      <c r="AS23" s="26" t="b">
        <v>0</v>
      </c>
      <c r="AT23" s="26" t="b">
        <v>0</v>
      </c>
      <c r="AU23" s="26" t="b">
        <v>0</v>
      </c>
      <c r="AV23" s="26" t="b">
        <v>1</v>
      </c>
      <c r="AW23" s="26" t="b">
        <v>0</v>
      </c>
      <c r="AX23" s="26" t="b">
        <v>0</v>
      </c>
      <c r="AY23" s="26" t="b">
        <v>1</v>
      </c>
      <c r="AZ23" s="26" t="b">
        <v>0</v>
      </c>
      <c r="BA23" s="26" t="b">
        <v>1</v>
      </c>
      <c r="BB23" s="26" t="b">
        <v>1</v>
      </c>
      <c r="BC23" s="26" t="b">
        <v>0</v>
      </c>
      <c r="BD23" s="26" t="b">
        <v>0</v>
      </c>
      <c r="BE23" s="26" t="b">
        <v>1</v>
      </c>
      <c r="BF23" s="26" t="b">
        <v>0</v>
      </c>
      <c r="BG23" s="26" t="b">
        <v>1</v>
      </c>
      <c r="BH23" s="26" t="b">
        <v>1</v>
      </c>
      <c r="BI23" s="26" t="b">
        <v>1</v>
      </c>
      <c r="BJ23" s="26" t="b">
        <v>1</v>
      </c>
      <c r="BK23" s="26" t="b">
        <v>0</v>
      </c>
      <c r="BL23" s="26" t="b">
        <v>0</v>
      </c>
      <c r="BM23" s="26" t="b">
        <v>0</v>
      </c>
      <c r="BN23" s="26" t="b">
        <v>1</v>
      </c>
      <c r="BO23" s="26" t="b">
        <v>1</v>
      </c>
      <c r="BP23" s="26" t="b">
        <v>1</v>
      </c>
      <c r="BQ23" s="26" t="b">
        <v>1</v>
      </c>
      <c r="BR23" s="26" t="b">
        <v>1</v>
      </c>
      <c r="BS23" s="26" t="b">
        <v>1</v>
      </c>
      <c r="BT23" s="26" t="b">
        <v>0</v>
      </c>
      <c r="BU23" s="26" t="b">
        <v>1</v>
      </c>
      <c r="BV23" s="26" t="b">
        <v>1</v>
      </c>
      <c r="BW23" s="26" t="b">
        <v>1</v>
      </c>
      <c r="BX23" s="19">
        <f t="shared" si="2"/>
        <v>31</v>
      </c>
      <c r="BY23" s="20">
        <f t="shared" si="3"/>
        <v>18</v>
      </c>
      <c r="BZ23" s="21">
        <f t="shared" si="4"/>
        <v>0.5806451613</v>
      </c>
      <c r="CA23" s="22" t="str">
        <f t="shared" si="5"/>
        <v>BAD IN NOV</v>
      </c>
      <c r="CB23" s="19">
        <f t="shared" si="6"/>
        <v>37</v>
      </c>
      <c r="CC23" s="20">
        <f t="shared" si="7"/>
        <v>23</v>
      </c>
      <c r="CD23" s="23">
        <f t="shared" si="8"/>
        <v>0.6216216216</v>
      </c>
      <c r="CE23" s="24" t="str">
        <f t="shared" si="9"/>
        <v>Good in dec</v>
      </c>
      <c r="CF23" s="24" t="str">
        <f t="shared" si="10"/>
        <v>NOT CONNECT</v>
      </c>
    </row>
    <row r="24">
      <c r="A24" s="31" t="s">
        <v>57</v>
      </c>
      <c r="B24" s="33" t="s">
        <v>58</v>
      </c>
      <c r="C24" s="34">
        <v>7.489249341E9</v>
      </c>
      <c r="D24" s="25" t="s">
        <v>22</v>
      </c>
      <c r="E24" s="28">
        <f t="shared" si="11"/>
        <v>64</v>
      </c>
      <c r="F24" s="28">
        <f t="shared" si="12"/>
        <v>13</v>
      </c>
      <c r="G24" s="29">
        <f t="shared" si="13"/>
        <v>20</v>
      </c>
      <c r="H24" s="28">
        <f t="shared" si="14"/>
        <v>49</v>
      </c>
      <c r="I24" s="28">
        <f t="shared" si="15"/>
        <v>12</v>
      </c>
      <c r="J24" s="35">
        <f t="shared" si="16"/>
        <v>24.48979592</v>
      </c>
      <c r="K24" s="31"/>
      <c r="L24" s="26" t="b">
        <v>0</v>
      </c>
      <c r="M24" s="26" t="b">
        <v>0</v>
      </c>
      <c r="N24" s="26" t="b">
        <v>0</v>
      </c>
      <c r="O24" s="26" t="b">
        <v>0</v>
      </c>
      <c r="P24" s="26" t="b">
        <v>0</v>
      </c>
      <c r="Q24" s="26" t="b">
        <v>0</v>
      </c>
      <c r="R24" s="26" t="b">
        <v>0</v>
      </c>
      <c r="S24" s="26" t="b">
        <v>0</v>
      </c>
      <c r="T24" s="26" t="b">
        <v>0</v>
      </c>
      <c r="U24" s="26" t="b">
        <v>0</v>
      </c>
      <c r="V24" s="26" t="b">
        <v>0</v>
      </c>
      <c r="W24" s="26" t="b">
        <v>0</v>
      </c>
      <c r="X24" s="26" t="b">
        <v>0</v>
      </c>
      <c r="Y24" s="26" t="b">
        <v>0</v>
      </c>
      <c r="Z24" s="26" t="b">
        <v>0</v>
      </c>
      <c r="AA24" s="26" t="b">
        <v>0</v>
      </c>
      <c r="AB24" s="26" t="b">
        <v>0</v>
      </c>
      <c r="AC24" s="26" t="b">
        <v>0</v>
      </c>
      <c r="AD24" s="26" t="b">
        <v>0</v>
      </c>
      <c r="AE24" s="26" t="b">
        <v>0</v>
      </c>
      <c r="AF24" s="26" t="b">
        <v>0</v>
      </c>
      <c r="AG24" s="26" t="b">
        <v>0</v>
      </c>
      <c r="AH24" s="26" t="b">
        <v>0</v>
      </c>
      <c r="AI24" s="26" t="b">
        <v>0</v>
      </c>
      <c r="AJ24" s="26" t="b">
        <v>0</v>
      </c>
      <c r="AK24" s="26" t="b">
        <v>0</v>
      </c>
      <c r="AL24" s="26" t="b">
        <v>0</v>
      </c>
      <c r="AM24" s="26" t="b">
        <v>0</v>
      </c>
      <c r="AN24" s="26" t="b">
        <v>0</v>
      </c>
      <c r="AO24" s="26" t="b">
        <v>0</v>
      </c>
      <c r="AP24" s="26" t="b">
        <v>0</v>
      </c>
      <c r="AQ24" s="26" t="b">
        <v>0</v>
      </c>
      <c r="AR24" s="26" t="b">
        <v>0</v>
      </c>
      <c r="AS24" s="26" t="b">
        <v>0</v>
      </c>
      <c r="AT24" s="26" t="b">
        <v>0</v>
      </c>
      <c r="AU24" s="26" t="b">
        <v>0</v>
      </c>
      <c r="AV24" s="26" t="b">
        <v>0</v>
      </c>
      <c r="AW24" s="26" t="b">
        <v>0</v>
      </c>
      <c r="AX24" s="26" t="b">
        <v>0</v>
      </c>
      <c r="AY24" s="26" t="b">
        <v>0</v>
      </c>
      <c r="AZ24" s="26" t="b">
        <v>0</v>
      </c>
      <c r="BA24" s="26" t="b">
        <v>1</v>
      </c>
      <c r="BB24" s="26" t="b">
        <v>0</v>
      </c>
      <c r="BC24" s="26" t="b">
        <v>0</v>
      </c>
      <c r="BD24" s="26" t="b">
        <v>0</v>
      </c>
      <c r="BE24" s="26" t="b">
        <v>0</v>
      </c>
      <c r="BF24" s="26" t="b">
        <v>0</v>
      </c>
      <c r="BG24" s="26" t="b">
        <v>1</v>
      </c>
      <c r="BH24" s="26" t="b">
        <v>0</v>
      </c>
      <c r="BI24" s="26" t="b">
        <v>0</v>
      </c>
      <c r="BJ24" s="26" t="b">
        <v>0</v>
      </c>
      <c r="BK24" s="26" t="b">
        <v>1</v>
      </c>
      <c r="BL24" s="26" t="b">
        <v>1</v>
      </c>
      <c r="BM24" s="26" t="b">
        <v>1</v>
      </c>
      <c r="BN24" s="26" t="b">
        <v>1</v>
      </c>
      <c r="BO24" s="26" t="b">
        <v>1</v>
      </c>
      <c r="BP24" s="26" t="b">
        <v>1</v>
      </c>
      <c r="BQ24" s="26" t="b">
        <v>1</v>
      </c>
      <c r="BR24" s="26" t="b">
        <v>1</v>
      </c>
      <c r="BS24" s="26" t="b">
        <v>1</v>
      </c>
      <c r="BT24" s="26" t="b">
        <v>1</v>
      </c>
      <c r="BU24" s="26" t="b">
        <v>1</v>
      </c>
      <c r="BV24" s="26" t="b">
        <v>0</v>
      </c>
      <c r="BW24" s="26" t="b">
        <v>0</v>
      </c>
      <c r="BX24" s="19">
        <f t="shared" si="2"/>
        <v>31</v>
      </c>
      <c r="BY24" s="20">
        <f t="shared" si="3"/>
        <v>13</v>
      </c>
      <c r="BZ24" s="21">
        <f t="shared" si="4"/>
        <v>0.4193548387</v>
      </c>
      <c r="CA24" s="22" t="str">
        <f t="shared" si="5"/>
        <v>BAD IN NOV</v>
      </c>
      <c r="CB24" s="19">
        <f t="shared" si="6"/>
        <v>37</v>
      </c>
      <c r="CC24" s="20">
        <f t="shared" si="7"/>
        <v>13</v>
      </c>
      <c r="CD24" s="23">
        <f t="shared" si="8"/>
        <v>0.3513513514</v>
      </c>
      <c r="CE24" s="24" t="str">
        <f t="shared" si="9"/>
        <v>Bad in dec</v>
      </c>
      <c r="CF24" s="24" t="str">
        <f t="shared" si="10"/>
        <v>NOT CONNECT</v>
      </c>
    </row>
    <row r="25">
      <c r="A25" s="31" t="s">
        <v>59</v>
      </c>
      <c r="B25" s="33" t="s">
        <v>60</v>
      </c>
      <c r="C25" s="34">
        <v>8.989224411E9</v>
      </c>
      <c r="D25" s="25" t="s">
        <v>22</v>
      </c>
      <c r="E25" s="28">
        <f t="shared" si="11"/>
        <v>64</v>
      </c>
      <c r="F25" s="28">
        <f t="shared" si="12"/>
        <v>40</v>
      </c>
      <c r="G25" s="29">
        <f t="shared" si="13"/>
        <v>63</v>
      </c>
      <c r="H25" s="28">
        <f t="shared" si="14"/>
        <v>49</v>
      </c>
      <c r="I25" s="28">
        <f t="shared" si="15"/>
        <v>38</v>
      </c>
      <c r="J25" s="30">
        <f t="shared" si="16"/>
        <v>77.55102041</v>
      </c>
      <c r="K25" s="31"/>
      <c r="L25" s="26" t="b">
        <v>0</v>
      </c>
      <c r="M25" s="26" t="b">
        <v>0</v>
      </c>
      <c r="N25" s="26" t="b">
        <v>0</v>
      </c>
      <c r="O25" s="26" t="b">
        <v>0</v>
      </c>
      <c r="P25" s="26" t="b">
        <v>0</v>
      </c>
      <c r="Q25" s="26" t="b">
        <v>1</v>
      </c>
      <c r="R25" s="26" t="b">
        <v>1</v>
      </c>
      <c r="S25" s="26" t="b">
        <v>0</v>
      </c>
      <c r="T25" s="26" t="b">
        <v>0</v>
      </c>
      <c r="U25" s="26" t="b">
        <v>0</v>
      </c>
      <c r="V25" s="26" t="b">
        <v>1</v>
      </c>
      <c r="W25" s="26" t="b">
        <v>1</v>
      </c>
      <c r="X25" s="26" t="b">
        <v>0</v>
      </c>
      <c r="Y25" s="26" t="b">
        <v>1</v>
      </c>
      <c r="Z25" s="26" t="b">
        <v>1</v>
      </c>
      <c r="AA25" s="26" t="b">
        <v>0</v>
      </c>
      <c r="AB25" s="26" t="b">
        <v>1</v>
      </c>
      <c r="AC25" s="26" t="b">
        <v>0</v>
      </c>
      <c r="AD25" s="26" t="b">
        <v>0</v>
      </c>
      <c r="AE25" s="26" t="b">
        <v>0</v>
      </c>
      <c r="AF25" s="26" t="b">
        <v>1</v>
      </c>
      <c r="AG25" s="26" t="b">
        <v>0</v>
      </c>
      <c r="AH25" s="26" t="b">
        <v>1</v>
      </c>
      <c r="AI25" s="26" t="b">
        <v>0</v>
      </c>
      <c r="AJ25" s="26" t="b">
        <v>1</v>
      </c>
      <c r="AK25" s="26" t="b">
        <v>1</v>
      </c>
      <c r="AL25" s="26" t="b">
        <v>1</v>
      </c>
      <c r="AM25" s="26" t="b">
        <v>1</v>
      </c>
      <c r="AN25" s="26" t="b">
        <v>0</v>
      </c>
      <c r="AO25" s="26" t="b">
        <v>1</v>
      </c>
      <c r="AP25" s="26" t="b">
        <v>1</v>
      </c>
      <c r="AQ25" s="26" t="b">
        <v>0</v>
      </c>
      <c r="AR25" s="26" t="b">
        <v>1</v>
      </c>
      <c r="AS25" s="26" t="b">
        <v>0</v>
      </c>
      <c r="AT25" s="26" t="b">
        <v>0</v>
      </c>
      <c r="AU25" s="26" t="b">
        <v>0</v>
      </c>
      <c r="AV25" s="26" t="b">
        <v>1</v>
      </c>
      <c r="AW25" s="26" t="b">
        <v>0</v>
      </c>
      <c r="AX25" s="26" t="b">
        <v>1</v>
      </c>
      <c r="AY25" s="26" t="b">
        <v>1</v>
      </c>
      <c r="AZ25" s="26" t="b">
        <v>0</v>
      </c>
      <c r="BA25" s="26" t="b">
        <v>1</v>
      </c>
      <c r="BB25" s="26" t="b">
        <v>1</v>
      </c>
      <c r="BC25" s="26" t="b">
        <v>0</v>
      </c>
      <c r="BD25" s="26" t="b">
        <v>1</v>
      </c>
      <c r="BE25" s="26" t="b">
        <v>1</v>
      </c>
      <c r="BF25" s="26" t="b">
        <v>0</v>
      </c>
      <c r="BG25" s="26" t="b">
        <v>1</v>
      </c>
      <c r="BH25" s="26" t="b">
        <v>1</v>
      </c>
      <c r="BI25" s="26" t="b">
        <v>1</v>
      </c>
      <c r="BJ25" s="26" t="b">
        <v>1</v>
      </c>
      <c r="BK25" s="26" t="b">
        <v>1</v>
      </c>
      <c r="BL25" s="26" t="b">
        <v>1</v>
      </c>
      <c r="BM25" s="26" t="b">
        <v>1</v>
      </c>
      <c r="BN25" s="26" t="b">
        <v>1</v>
      </c>
      <c r="BO25" s="26" t="b">
        <v>1</v>
      </c>
      <c r="BP25" s="26" t="b">
        <v>1</v>
      </c>
      <c r="BQ25" s="26" t="b">
        <v>1</v>
      </c>
      <c r="BR25" s="26" t="b">
        <v>1</v>
      </c>
      <c r="BS25" s="26" t="b">
        <v>1</v>
      </c>
      <c r="BT25" s="26" t="b">
        <v>1</v>
      </c>
      <c r="BU25" s="26" t="b">
        <v>1</v>
      </c>
      <c r="BV25" s="26" t="b">
        <v>1</v>
      </c>
      <c r="BW25" s="26" t="b">
        <v>1</v>
      </c>
      <c r="BX25" s="19">
        <f t="shared" si="2"/>
        <v>31</v>
      </c>
      <c r="BY25" s="20">
        <f t="shared" si="3"/>
        <v>24</v>
      </c>
      <c r="BZ25" s="21">
        <f t="shared" si="4"/>
        <v>0.7741935484</v>
      </c>
      <c r="CA25" s="22" t="str">
        <f t="shared" si="5"/>
        <v>GOOD IN NOV</v>
      </c>
      <c r="CB25" s="19">
        <f t="shared" si="6"/>
        <v>37</v>
      </c>
      <c r="CC25" s="20">
        <f t="shared" si="7"/>
        <v>28</v>
      </c>
      <c r="CD25" s="23">
        <f t="shared" si="8"/>
        <v>0.7567567568</v>
      </c>
      <c r="CE25" s="24" t="str">
        <f t="shared" si="9"/>
        <v>Good in dec</v>
      </c>
      <c r="CF25" s="24" t="str">
        <f t="shared" si="10"/>
        <v>NOT CONNECT</v>
      </c>
    </row>
    <row r="26">
      <c r="A26" s="25" t="s">
        <v>61</v>
      </c>
      <c r="B26" s="26" t="s">
        <v>62</v>
      </c>
      <c r="C26" s="27">
        <v>7.724026334E9</v>
      </c>
      <c r="D26" s="25" t="s">
        <v>22</v>
      </c>
      <c r="E26" s="28">
        <f t="shared" si="11"/>
        <v>64</v>
      </c>
      <c r="F26" s="28">
        <f t="shared" si="12"/>
        <v>49</v>
      </c>
      <c r="G26" s="32">
        <f t="shared" si="13"/>
        <v>77</v>
      </c>
      <c r="H26" s="28">
        <f t="shared" si="14"/>
        <v>49</v>
      </c>
      <c r="I26" s="28">
        <f t="shared" si="15"/>
        <v>41</v>
      </c>
      <c r="J26" s="30">
        <f t="shared" si="16"/>
        <v>83.67346939</v>
      </c>
      <c r="K26" s="31"/>
      <c r="L26" s="26" t="b">
        <v>1</v>
      </c>
      <c r="M26" s="26" t="b">
        <v>1</v>
      </c>
      <c r="N26" s="26" t="b">
        <v>0</v>
      </c>
      <c r="O26" s="26" t="b">
        <v>1</v>
      </c>
      <c r="P26" s="26" t="b">
        <v>1</v>
      </c>
      <c r="Q26" s="26" t="b">
        <v>1</v>
      </c>
      <c r="R26" s="26" t="b">
        <v>1</v>
      </c>
      <c r="S26" s="26" t="b">
        <v>1</v>
      </c>
      <c r="T26" s="26" t="b">
        <v>1</v>
      </c>
      <c r="U26" s="26" t="b">
        <v>0</v>
      </c>
      <c r="V26" s="26" t="b">
        <v>1</v>
      </c>
      <c r="W26" s="26" t="b">
        <v>1</v>
      </c>
      <c r="X26" s="26" t="b">
        <v>0</v>
      </c>
      <c r="Y26" s="26" t="b">
        <v>1</v>
      </c>
      <c r="Z26" s="26" t="b">
        <v>1</v>
      </c>
      <c r="AA26" s="26" t="b">
        <v>1</v>
      </c>
      <c r="AB26" s="26" t="b">
        <v>1</v>
      </c>
      <c r="AC26" s="26" t="b">
        <v>1</v>
      </c>
      <c r="AD26" s="26" t="b">
        <v>0</v>
      </c>
      <c r="AE26" s="26" t="b">
        <v>1</v>
      </c>
      <c r="AF26" s="26" t="b">
        <v>0</v>
      </c>
      <c r="AG26" s="26" t="b">
        <v>1</v>
      </c>
      <c r="AH26" s="26" t="b">
        <v>1</v>
      </c>
      <c r="AI26" s="26" t="b">
        <v>0</v>
      </c>
      <c r="AJ26" s="26" t="b">
        <v>1</v>
      </c>
      <c r="AK26" s="26" t="b">
        <v>1</v>
      </c>
      <c r="AL26" s="26" t="b">
        <v>1</v>
      </c>
      <c r="AM26" s="26" t="b">
        <v>0</v>
      </c>
      <c r="AN26" s="26" t="b">
        <v>0</v>
      </c>
      <c r="AO26" s="26" t="b">
        <v>1</v>
      </c>
      <c r="AP26" s="26" t="b">
        <v>1</v>
      </c>
      <c r="AQ26" s="26" t="b">
        <v>1</v>
      </c>
      <c r="AR26" s="26" t="b">
        <v>1</v>
      </c>
      <c r="AS26" s="26" t="b">
        <v>1</v>
      </c>
      <c r="AT26" s="26" t="b">
        <v>1</v>
      </c>
      <c r="AU26" s="26" t="b">
        <v>1</v>
      </c>
      <c r="AV26" s="26" t="b">
        <v>1</v>
      </c>
      <c r="AW26" s="26" t="b">
        <v>1</v>
      </c>
      <c r="AX26" s="26" t="b">
        <v>1</v>
      </c>
      <c r="AY26" s="26" t="b">
        <v>1</v>
      </c>
      <c r="AZ26" s="26" t="b">
        <v>1</v>
      </c>
      <c r="BA26" s="26" t="b">
        <v>1</v>
      </c>
      <c r="BB26" s="26" t="b">
        <v>1</v>
      </c>
      <c r="BC26" s="26" t="b">
        <v>1</v>
      </c>
      <c r="BD26" s="26" t="b">
        <v>1</v>
      </c>
      <c r="BE26" s="26" t="b">
        <v>1</v>
      </c>
      <c r="BF26" s="26" t="b">
        <v>0</v>
      </c>
      <c r="BG26" s="26" t="b">
        <v>1</v>
      </c>
      <c r="BH26" s="26" t="b">
        <v>1</v>
      </c>
      <c r="BI26" s="26" t="b">
        <v>0</v>
      </c>
      <c r="BJ26" s="26" t="b">
        <v>0</v>
      </c>
      <c r="BK26" s="26" t="b">
        <v>1</v>
      </c>
      <c r="BL26" s="26" t="b">
        <v>1</v>
      </c>
      <c r="BM26" s="26" t="b">
        <v>1</v>
      </c>
      <c r="BN26" s="26" t="b">
        <v>1</v>
      </c>
      <c r="BO26" s="26" t="b">
        <v>1</v>
      </c>
      <c r="BP26" s="26" t="b">
        <v>1</v>
      </c>
      <c r="BQ26" s="26" t="b">
        <v>1</v>
      </c>
      <c r="BR26" s="26" t="b">
        <v>1</v>
      </c>
      <c r="BS26" s="26" t="b">
        <v>1</v>
      </c>
      <c r="BT26" s="26" t="b">
        <v>0</v>
      </c>
      <c r="BU26" s="26" t="b">
        <v>0</v>
      </c>
      <c r="BV26" s="26" t="b">
        <v>0</v>
      </c>
      <c r="BW26" s="26" t="b">
        <v>0</v>
      </c>
      <c r="BX26" s="19">
        <f t="shared" si="2"/>
        <v>31</v>
      </c>
      <c r="BY26" s="20">
        <f t="shared" si="3"/>
        <v>24</v>
      </c>
      <c r="BZ26" s="21">
        <f t="shared" si="4"/>
        <v>0.7741935484</v>
      </c>
      <c r="CA26" s="22" t="str">
        <f t="shared" si="5"/>
        <v>GOOD IN NOV</v>
      </c>
      <c r="CB26" s="19">
        <f t="shared" si="6"/>
        <v>37</v>
      </c>
      <c r="CC26" s="20">
        <f t="shared" si="7"/>
        <v>28</v>
      </c>
      <c r="CD26" s="23">
        <f t="shared" si="8"/>
        <v>0.7567567568</v>
      </c>
      <c r="CE26" s="24" t="str">
        <f t="shared" si="9"/>
        <v>Good in dec</v>
      </c>
      <c r="CF26" s="24" t="str">
        <f t="shared" si="10"/>
        <v>NOT CONNECT</v>
      </c>
    </row>
    <row r="27">
      <c r="A27" s="25" t="s">
        <v>63</v>
      </c>
      <c r="B27" s="26" t="s">
        <v>64</v>
      </c>
      <c r="C27" s="27">
        <v>6.261208093E9</v>
      </c>
      <c r="D27" s="25" t="s">
        <v>22</v>
      </c>
      <c r="E27" s="28">
        <f t="shared" si="11"/>
        <v>64</v>
      </c>
      <c r="F27" s="28">
        <f t="shared" si="12"/>
        <v>32</v>
      </c>
      <c r="G27" s="29">
        <f t="shared" si="13"/>
        <v>50</v>
      </c>
      <c r="H27" s="28">
        <f t="shared" si="14"/>
        <v>49</v>
      </c>
      <c r="I27" s="28">
        <f t="shared" si="15"/>
        <v>30</v>
      </c>
      <c r="J27" s="35">
        <f t="shared" si="16"/>
        <v>61.2244898</v>
      </c>
      <c r="K27" s="31"/>
      <c r="L27" s="26" t="b">
        <v>1</v>
      </c>
      <c r="M27" s="26" t="b">
        <v>0</v>
      </c>
      <c r="N27" s="26" t="b">
        <v>1</v>
      </c>
      <c r="O27" s="26" t="b">
        <v>0</v>
      </c>
      <c r="P27" s="26" t="b">
        <v>1</v>
      </c>
      <c r="Q27" s="26" t="b">
        <v>0</v>
      </c>
      <c r="R27" s="26" t="b">
        <v>1</v>
      </c>
      <c r="S27" s="26" t="b">
        <v>0</v>
      </c>
      <c r="T27" s="26" t="b">
        <v>0</v>
      </c>
      <c r="U27" s="26" t="b">
        <v>0</v>
      </c>
      <c r="V27" s="26" t="b">
        <v>0</v>
      </c>
      <c r="W27" s="26" t="b">
        <v>0</v>
      </c>
      <c r="X27" s="26" t="b">
        <v>0</v>
      </c>
      <c r="Y27" s="26" t="b">
        <v>0</v>
      </c>
      <c r="Z27" s="26" t="b">
        <v>1</v>
      </c>
      <c r="AA27" s="26" t="b">
        <v>0</v>
      </c>
      <c r="AB27" s="26" t="b">
        <v>0</v>
      </c>
      <c r="AC27" s="26" t="b">
        <v>0</v>
      </c>
      <c r="AD27" s="26" t="b">
        <v>0</v>
      </c>
      <c r="AE27" s="26" t="b">
        <v>0</v>
      </c>
      <c r="AF27" s="26" t="b">
        <v>1</v>
      </c>
      <c r="AG27" s="26" t="b">
        <v>0</v>
      </c>
      <c r="AH27" s="26" t="b">
        <v>1</v>
      </c>
      <c r="AI27" s="26" t="b">
        <v>0</v>
      </c>
      <c r="AJ27" s="26" t="b">
        <v>1</v>
      </c>
      <c r="AK27" s="26" t="b">
        <v>1</v>
      </c>
      <c r="AL27" s="26" t="b">
        <v>1</v>
      </c>
      <c r="AM27" s="26" t="b">
        <v>1</v>
      </c>
      <c r="AN27" s="26" t="b">
        <v>0</v>
      </c>
      <c r="AO27" s="26" t="b">
        <v>1</v>
      </c>
      <c r="AP27" s="26" t="b">
        <v>1</v>
      </c>
      <c r="AQ27" s="26" t="b">
        <v>0</v>
      </c>
      <c r="AR27" s="26" t="b">
        <v>1</v>
      </c>
      <c r="AS27" s="26" t="b">
        <v>1</v>
      </c>
      <c r="AT27" s="26" t="b">
        <v>0</v>
      </c>
      <c r="AU27" s="26" t="b">
        <v>1</v>
      </c>
      <c r="AV27" s="26" t="b">
        <v>1</v>
      </c>
      <c r="AW27" s="26" t="b">
        <v>1</v>
      </c>
      <c r="AX27" s="26" t="b">
        <v>1</v>
      </c>
      <c r="AY27" s="26" t="b">
        <v>1</v>
      </c>
      <c r="AZ27" s="26" t="b">
        <v>0</v>
      </c>
      <c r="BA27" s="26" t="b">
        <v>1</v>
      </c>
      <c r="BB27" s="26" t="b">
        <v>1</v>
      </c>
      <c r="BC27" s="26" t="b">
        <v>0</v>
      </c>
      <c r="BD27" s="26" t="b">
        <v>0</v>
      </c>
      <c r="BE27" s="26" t="b">
        <v>0</v>
      </c>
      <c r="BF27" s="26" t="b">
        <v>0</v>
      </c>
      <c r="BG27" s="26" t="b">
        <v>0</v>
      </c>
      <c r="BH27" s="26" t="b">
        <v>0</v>
      </c>
      <c r="BI27" s="26" t="b">
        <v>0</v>
      </c>
      <c r="BJ27" s="26" t="b">
        <v>1</v>
      </c>
      <c r="BK27" s="26" t="b">
        <v>1</v>
      </c>
      <c r="BL27" s="26" t="b">
        <v>1</v>
      </c>
      <c r="BM27" s="26" t="b">
        <v>1</v>
      </c>
      <c r="BN27" s="26" t="b">
        <v>1</v>
      </c>
      <c r="BO27" s="26" t="b">
        <v>1</v>
      </c>
      <c r="BP27" s="26" t="b">
        <v>1</v>
      </c>
      <c r="BQ27" s="26" t="b">
        <v>1</v>
      </c>
      <c r="BR27" s="26" t="b">
        <v>1</v>
      </c>
      <c r="BS27" s="26" t="b">
        <v>1</v>
      </c>
      <c r="BT27" s="26" t="b">
        <v>0</v>
      </c>
      <c r="BU27" s="26" t="b">
        <v>0</v>
      </c>
      <c r="BV27" s="26" t="b">
        <v>0</v>
      </c>
      <c r="BW27" s="26" t="b">
        <v>0</v>
      </c>
      <c r="BX27" s="19">
        <f t="shared" si="2"/>
        <v>31</v>
      </c>
      <c r="BY27" s="20">
        <f t="shared" si="3"/>
        <v>18</v>
      </c>
      <c r="BZ27" s="21">
        <f t="shared" si="4"/>
        <v>0.5806451613</v>
      </c>
      <c r="CA27" s="22" t="str">
        <f t="shared" si="5"/>
        <v>BAD IN NOV</v>
      </c>
      <c r="CB27" s="19">
        <f t="shared" si="6"/>
        <v>37</v>
      </c>
      <c r="CC27" s="20">
        <f t="shared" si="7"/>
        <v>22</v>
      </c>
      <c r="CD27" s="23">
        <f t="shared" si="8"/>
        <v>0.5945945946</v>
      </c>
      <c r="CE27" s="24" t="str">
        <f t="shared" si="9"/>
        <v>Good in dec</v>
      </c>
      <c r="CF27" s="24" t="str">
        <f t="shared" si="10"/>
        <v>NOT CONNECT</v>
      </c>
    </row>
    <row r="28">
      <c r="A28" s="25" t="s">
        <v>65</v>
      </c>
      <c r="B28" s="26" t="s">
        <v>66</v>
      </c>
      <c r="C28" s="27">
        <v>8.602245009E9</v>
      </c>
      <c r="D28" s="25" t="s">
        <v>22</v>
      </c>
      <c r="E28" s="28">
        <f t="shared" si="11"/>
        <v>64</v>
      </c>
      <c r="F28" s="28">
        <f t="shared" si="12"/>
        <v>29</v>
      </c>
      <c r="G28" s="29">
        <f t="shared" si="13"/>
        <v>45</v>
      </c>
      <c r="H28" s="28">
        <f t="shared" si="14"/>
        <v>49</v>
      </c>
      <c r="I28" s="28">
        <f t="shared" si="15"/>
        <v>26</v>
      </c>
      <c r="J28" s="35">
        <f t="shared" si="16"/>
        <v>53.06122449</v>
      </c>
      <c r="K28" s="31"/>
      <c r="L28" s="26" t="b">
        <v>0</v>
      </c>
      <c r="M28" s="26" t="b">
        <v>0</v>
      </c>
      <c r="N28" s="26" t="b">
        <v>0</v>
      </c>
      <c r="O28" s="26" t="b">
        <v>0</v>
      </c>
      <c r="P28" s="26" t="b">
        <v>0</v>
      </c>
      <c r="Q28" s="26" t="b">
        <v>0</v>
      </c>
      <c r="R28" s="26" t="b">
        <v>0</v>
      </c>
      <c r="S28" s="26" t="b">
        <v>0</v>
      </c>
      <c r="T28" s="26" t="b">
        <v>0</v>
      </c>
      <c r="U28" s="26" t="b">
        <v>0</v>
      </c>
      <c r="V28" s="26" t="b">
        <v>1</v>
      </c>
      <c r="W28" s="26" t="b">
        <v>1</v>
      </c>
      <c r="X28" s="26" t="b">
        <v>0</v>
      </c>
      <c r="Y28" s="26" t="b">
        <v>1</v>
      </c>
      <c r="Z28" s="26" t="b">
        <v>1</v>
      </c>
      <c r="AA28" s="26" t="b">
        <v>0</v>
      </c>
      <c r="AB28" s="26" t="b">
        <v>1</v>
      </c>
      <c r="AC28" s="26" t="b">
        <v>1</v>
      </c>
      <c r="AD28" s="26" t="b">
        <v>0</v>
      </c>
      <c r="AE28" s="26" t="b">
        <v>1</v>
      </c>
      <c r="AF28" s="26" t="b">
        <v>1</v>
      </c>
      <c r="AG28" s="26" t="b">
        <v>0</v>
      </c>
      <c r="AH28" s="26" t="b">
        <v>1</v>
      </c>
      <c r="AI28" s="26" t="b">
        <v>0</v>
      </c>
      <c r="AJ28" s="26" t="b">
        <v>1</v>
      </c>
      <c r="AK28" s="26" t="b">
        <v>1</v>
      </c>
      <c r="AL28" s="26" t="b">
        <v>1</v>
      </c>
      <c r="AM28" s="26" t="b">
        <v>1</v>
      </c>
      <c r="AN28" s="26" t="b">
        <v>0</v>
      </c>
      <c r="AO28" s="26" t="b">
        <v>1</v>
      </c>
      <c r="AP28" s="26" t="b">
        <v>1</v>
      </c>
      <c r="AQ28" s="26" t="b">
        <v>1</v>
      </c>
      <c r="AR28" s="26" t="b">
        <v>1</v>
      </c>
      <c r="AS28" s="26" t="b">
        <v>1</v>
      </c>
      <c r="AT28" s="26" t="b">
        <v>0</v>
      </c>
      <c r="AU28" s="26" t="b">
        <v>1</v>
      </c>
      <c r="AV28" s="26" t="b">
        <v>1</v>
      </c>
      <c r="AW28" s="26" t="b">
        <v>1</v>
      </c>
      <c r="AX28" s="26" t="b">
        <v>1</v>
      </c>
      <c r="AY28" s="26" t="b">
        <v>1</v>
      </c>
      <c r="AZ28" s="26" t="b">
        <v>0</v>
      </c>
      <c r="BA28" s="26" t="b">
        <v>1</v>
      </c>
      <c r="BB28" s="26" t="b">
        <v>1</v>
      </c>
      <c r="BC28" s="26" t="b">
        <v>1</v>
      </c>
      <c r="BD28" s="26" t="b">
        <v>1</v>
      </c>
      <c r="BE28" s="26" t="b">
        <v>1</v>
      </c>
      <c r="BF28" s="26" t="b">
        <v>0</v>
      </c>
      <c r="BG28" s="26" t="b">
        <v>1</v>
      </c>
      <c r="BH28" s="26" t="b">
        <v>0</v>
      </c>
      <c r="BI28" s="26" t="b">
        <v>0</v>
      </c>
      <c r="BJ28" s="26" t="b">
        <v>0</v>
      </c>
      <c r="BK28" s="26" t="b">
        <v>0</v>
      </c>
      <c r="BL28" s="26" t="b">
        <v>0</v>
      </c>
      <c r="BM28" s="26" t="b">
        <v>0</v>
      </c>
      <c r="BN28" s="26" t="b">
        <v>0</v>
      </c>
      <c r="BO28" s="26" t="b">
        <v>0</v>
      </c>
      <c r="BP28" s="26" t="b">
        <v>0</v>
      </c>
      <c r="BQ28" s="26" t="b">
        <v>0</v>
      </c>
      <c r="BR28" s="26" t="b">
        <v>0</v>
      </c>
      <c r="BS28" s="26" t="b">
        <v>0</v>
      </c>
      <c r="BT28" s="26" t="b">
        <v>0</v>
      </c>
      <c r="BU28" s="26" t="b">
        <v>0</v>
      </c>
      <c r="BV28" s="26" t="b">
        <v>0</v>
      </c>
      <c r="BW28" s="26" t="b">
        <v>0</v>
      </c>
      <c r="BX28" s="19">
        <f t="shared" si="2"/>
        <v>31</v>
      </c>
      <c r="BY28" s="20">
        <f t="shared" si="3"/>
        <v>12</v>
      </c>
      <c r="BZ28" s="21">
        <f t="shared" si="4"/>
        <v>0.3870967742</v>
      </c>
      <c r="CA28" s="22" t="str">
        <f t="shared" si="5"/>
        <v>BAD IN NOV</v>
      </c>
      <c r="CB28" s="19">
        <f t="shared" si="6"/>
        <v>37</v>
      </c>
      <c r="CC28" s="20">
        <f t="shared" si="7"/>
        <v>17</v>
      </c>
      <c r="CD28" s="23">
        <f t="shared" si="8"/>
        <v>0.4594594595</v>
      </c>
      <c r="CE28" s="24" t="str">
        <f t="shared" si="9"/>
        <v>Good in dec</v>
      </c>
      <c r="CF28" s="24" t="str">
        <f t="shared" si="10"/>
        <v>NOT CONNECT</v>
      </c>
    </row>
    <row r="29">
      <c r="A29" s="25" t="s">
        <v>67</v>
      </c>
      <c r="B29" s="26" t="s">
        <v>68</v>
      </c>
      <c r="C29" s="27">
        <v>9.754884661E9</v>
      </c>
      <c r="D29" s="25" t="s">
        <v>22</v>
      </c>
      <c r="E29" s="28">
        <f t="shared" si="11"/>
        <v>64</v>
      </c>
      <c r="F29" s="28">
        <f t="shared" si="12"/>
        <v>50</v>
      </c>
      <c r="G29" s="32">
        <f t="shared" si="13"/>
        <v>78</v>
      </c>
      <c r="H29" s="28">
        <f t="shared" si="14"/>
        <v>49</v>
      </c>
      <c r="I29" s="28">
        <f t="shared" si="15"/>
        <v>44</v>
      </c>
      <c r="J29" s="30">
        <f t="shared" si="16"/>
        <v>89.79591837</v>
      </c>
      <c r="K29" s="31"/>
      <c r="L29" s="26" t="b">
        <v>1</v>
      </c>
      <c r="M29" s="26" t="b">
        <v>1</v>
      </c>
      <c r="N29" s="26" t="b">
        <v>1</v>
      </c>
      <c r="O29" s="26" t="b">
        <v>1</v>
      </c>
      <c r="P29" s="26" t="b">
        <v>0</v>
      </c>
      <c r="Q29" s="26" t="b">
        <v>1</v>
      </c>
      <c r="R29" s="26" t="b">
        <v>1</v>
      </c>
      <c r="S29" s="26" t="b">
        <v>1</v>
      </c>
      <c r="T29" s="26" t="b">
        <v>1</v>
      </c>
      <c r="U29" s="26" t="b">
        <v>1</v>
      </c>
      <c r="V29" s="26" t="b">
        <v>1</v>
      </c>
      <c r="W29" s="26" t="b">
        <v>1</v>
      </c>
      <c r="X29" s="26" t="b">
        <v>0</v>
      </c>
      <c r="Y29" s="26" t="b">
        <v>1</v>
      </c>
      <c r="Z29" s="26" t="b">
        <v>1</v>
      </c>
      <c r="AA29" s="26" t="b">
        <v>1</v>
      </c>
      <c r="AB29" s="26" t="b">
        <v>1</v>
      </c>
      <c r="AC29" s="26" t="b">
        <v>1</v>
      </c>
      <c r="AD29" s="26" t="b">
        <v>0</v>
      </c>
      <c r="AE29" s="26" t="b">
        <v>1</v>
      </c>
      <c r="AF29" s="26" t="b">
        <v>1</v>
      </c>
      <c r="AG29" s="26" t="b">
        <v>0</v>
      </c>
      <c r="AH29" s="26" t="b">
        <v>1</v>
      </c>
      <c r="AI29" s="26" t="b">
        <v>1</v>
      </c>
      <c r="AJ29" s="26" t="b">
        <v>1</v>
      </c>
      <c r="AK29" s="26" t="b">
        <v>1</v>
      </c>
      <c r="AL29" s="26" t="b">
        <v>1</v>
      </c>
      <c r="AM29" s="26" t="b">
        <v>1</v>
      </c>
      <c r="AN29" s="26" t="b">
        <v>0</v>
      </c>
      <c r="AO29" s="26" t="b">
        <v>1</v>
      </c>
      <c r="AP29" s="26" t="b">
        <v>1</v>
      </c>
      <c r="AQ29" s="26" t="b">
        <v>0</v>
      </c>
      <c r="AR29" s="26" t="b">
        <v>1</v>
      </c>
      <c r="AS29" s="26" t="b">
        <v>1</v>
      </c>
      <c r="AT29" s="26" t="b">
        <v>0</v>
      </c>
      <c r="AU29" s="26" t="b">
        <v>0</v>
      </c>
      <c r="AV29" s="26" t="b">
        <v>1</v>
      </c>
      <c r="AW29" s="26" t="b">
        <v>1</v>
      </c>
      <c r="AX29" s="26" t="b">
        <v>1</v>
      </c>
      <c r="AY29" s="26" t="b">
        <v>1</v>
      </c>
      <c r="AZ29" s="26" t="b">
        <v>1</v>
      </c>
      <c r="BA29" s="26" t="b">
        <v>1</v>
      </c>
      <c r="BB29" s="26" t="b">
        <v>0</v>
      </c>
      <c r="BC29" s="26" t="b">
        <v>0</v>
      </c>
      <c r="BD29" s="26" t="b">
        <v>0</v>
      </c>
      <c r="BE29" s="26" t="b">
        <v>0</v>
      </c>
      <c r="BF29" s="26" t="b">
        <v>0</v>
      </c>
      <c r="BG29" s="26" t="b">
        <v>1</v>
      </c>
      <c r="BH29" s="26" t="b">
        <v>1</v>
      </c>
      <c r="BI29" s="26" t="b">
        <v>0</v>
      </c>
      <c r="BJ29" s="26" t="b">
        <v>1</v>
      </c>
      <c r="BK29" s="26" t="b">
        <v>1</v>
      </c>
      <c r="BL29" s="26" t="b">
        <v>1</v>
      </c>
      <c r="BM29" s="26" t="b">
        <v>1</v>
      </c>
      <c r="BN29" s="26" t="b">
        <v>1</v>
      </c>
      <c r="BO29" s="26" t="b">
        <v>1</v>
      </c>
      <c r="BP29" s="26" t="b">
        <v>1</v>
      </c>
      <c r="BQ29" s="26" t="b">
        <v>1</v>
      </c>
      <c r="BR29" s="26" t="b">
        <v>1</v>
      </c>
      <c r="BS29" s="26" t="b">
        <v>1</v>
      </c>
      <c r="BT29" s="26" t="b">
        <v>1</v>
      </c>
      <c r="BU29" s="26" t="b">
        <v>1</v>
      </c>
      <c r="BV29" s="26" t="b">
        <v>1</v>
      </c>
      <c r="BW29" s="26" t="b">
        <v>1</v>
      </c>
      <c r="BX29" s="19">
        <f t="shared" si="2"/>
        <v>31</v>
      </c>
      <c r="BY29" s="20">
        <f t="shared" si="3"/>
        <v>23</v>
      </c>
      <c r="BZ29" s="21">
        <f t="shared" si="4"/>
        <v>0.7419354839</v>
      </c>
      <c r="CA29" s="22" t="str">
        <f t="shared" si="5"/>
        <v>GOOD IN NOV</v>
      </c>
      <c r="CB29" s="19">
        <f t="shared" si="6"/>
        <v>37</v>
      </c>
      <c r="CC29" s="20">
        <f t="shared" si="7"/>
        <v>27</v>
      </c>
      <c r="CD29" s="23">
        <f t="shared" si="8"/>
        <v>0.7297297297</v>
      </c>
      <c r="CE29" s="24" t="str">
        <f t="shared" si="9"/>
        <v>Good in dec</v>
      </c>
      <c r="CF29" s="24" t="str">
        <f t="shared" si="10"/>
        <v>NOT CONNECT</v>
      </c>
    </row>
    <row r="30">
      <c r="A30" s="31" t="s">
        <v>69</v>
      </c>
      <c r="B30" s="33" t="s">
        <v>70</v>
      </c>
      <c r="C30" s="34">
        <v>9.993724306E9</v>
      </c>
      <c r="D30" s="25" t="s">
        <v>22</v>
      </c>
      <c r="E30" s="28">
        <f t="shared" si="11"/>
        <v>64</v>
      </c>
      <c r="F30" s="28">
        <f t="shared" si="12"/>
        <v>14</v>
      </c>
      <c r="G30" s="29">
        <f t="shared" si="13"/>
        <v>22</v>
      </c>
      <c r="H30" s="28">
        <f t="shared" si="14"/>
        <v>49</v>
      </c>
      <c r="I30" s="28">
        <f t="shared" si="15"/>
        <v>14</v>
      </c>
      <c r="J30" s="35">
        <f t="shared" si="16"/>
        <v>28.57142857</v>
      </c>
      <c r="K30" s="31"/>
      <c r="L30" s="26" t="b">
        <v>0</v>
      </c>
      <c r="M30" s="26" t="b">
        <v>0</v>
      </c>
      <c r="N30" s="26" t="b">
        <v>0</v>
      </c>
      <c r="O30" s="26" t="b">
        <v>0</v>
      </c>
      <c r="P30" s="26" t="b">
        <v>0</v>
      </c>
      <c r="Q30" s="26" t="b">
        <v>0</v>
      </c>
      <c r="R30" s="26" t="b">
        <v>0</v>
      </c>
      <c r="S30" s="26" t="b">
        <v>0</v>
      </c>
      <c r="T30" s="26" t="b">
        <v>0</v>
      </c>
      <c r="U30" s="26" t="b">
        <v>0</v>
      </c>
      <c r="V30" s="26" t="b">
        <v>0</v>
      </c>
      <c r="W30" s="26" t="b">
        <v>0</v>
      </c>
      <c r="X30" s="26" t="b">
        <v>0</v>
      </c>
      <c r="Y30" s="26" t="b">
        <v>0</v>
      </c>
      <c r="Z30" s="26" t="b">
        <v>0</v>
      </c>
      <c r="AA30" s="26" t="b">
        <v>0</v>
      </c>
      <c r="AB30" s="26" t="b">
        <v>0</v>
      </c>
      <c r="AC30" s="26" t="b">
        <v>0</v>
      </c>
      <c r="AD30" s="26" t="b">
        <v>0</v>
      </c>
      <c r="AE30" s="26" t="b">
        <v>1</v>
      </c>
      <c r="AF30" s="26" t="b">
        <v>0</v>
      </c>
      <c r="AG30" s="26" t="b">
        <v>0</v>
      </c>
      <c r="AH30" s="26" t="b">
        <v>0</v>
      </c>
      <c r="AI30" s="26" t="b">
        <v>0</v>
      </c>
      <c r="AJ30" s="26" t="b">
        <v>0</v>
      </c>
      <c r="AK30" s="26" t="b">
        <v>1</v>
      </c>
      <c r="AL30" s="26" t="b">
        <v>1</v>
      </c>
      <c r="AM30" s="26" t="b">
        <v>1</v>
      </c>
      <c r="AN30" s="26" t="b">
        <v>0</v>
      </c>
      <c r="AO30" s="26" t="b">
        <v>1</v>
      </c>
      <c r="AP30" s="26" t="b">
        <v>0</v>
      </c>
      <c r="AQ30" s="26" t="b">
        <v>0</v>
      </c>
      <c r="AR30" s="26" t="b">
        <v>1</v>
      </c>
      <c r="AS30" s="26" t="b">
        <v>0</v>
      </c>
      <c r="AT30" s="26" t="b">
        <v>0</v>
      </c>
      <c r="AU30" s="26" t="b">
        <v>0</v>
      </c>
      <c r="AV30" s="26" t="b">
        <v>0</v>
      </c>
      <c r="AW30" s="26" t="b">
        <v>0</v>
      </c>
      <c r="AX30" s="26" t="b">
        <v>0</v>
      </c>
      <c r="AY30" s="26" t="b">
        <v>0</v>
      </c>
      <c r="AZ30" s="26" t="b">
        <v>0</v>
      </c>
      <c r="BA30" s="26" t="b">
        <v>0</v>
      </c>
      <c r="BB30" s="26" t="b">
        <v>0</v>
      </c>
      <c r="BC30" s="26" t="b">
        <v>0</v>
      </c>
      <c r="BD30" s="26" t="b">
        <v>0</v>
      </c>
      <c r="BE30" s="26" t="b">
        <v>0</v>
      </c>
      <c r="BF30" s="26" t="b">
        <v>0</v>
      </c>
      <c r="BG30" s="26" t="b">
        <v>0</v>
      </c>
      <c r="BH30" s="26" t="b">
        <v>0</v>
      </c>
      <c r="BI30" s="26" t="b">
        <v>0</v>
      </c>
      <c r="BJ30" s="26" t="b">
        <v>0</v>
      </c>
      <c r="BK30" s="26" t="b">
        <v>0</v>
      </c>
      <c r="BL30" s="26" t="b">
        <v>0</v>
      </c>
      <c r="BM30" s="26" t="b">
        <v>0</v>
      </c>
      <c r="BN30" s="26" t="b">
        <v>1</v>
      </c>
      <c r="BO30" s="26" t="b">
        <v>1</v>
      </c>
      <c r="BP30" s="26" t="b">
        <v>1</v>
      </c>
      <c r="BQ30" s="26" t="b">
        <v>1</v>
      </c>
      <c r="BR30" s="26" t="b">
        <v>1</v>
      </c>
      <c r="BS30" s="26" t="b">
        <v>1</v>
      </c>
      <c r="BT30" s="26" t="b">
        <v>1</v>
      </c>
      <c r="BU30" s="26" t="b">
        <v>1</v>
      </c>
      <c r="BV30" s="26" t="b">
        <v>0</v>
      </c>
      <c r="BW30" s="26" t="b">
        <v>0</v>
      </c>
      <c r="BX30" s="19">
        <f t="shared" si="2"/>
        <v>31</v>
      </c>
      <c r="BY30" s="20">
        <f t="shared" si="3"/>
        <v>8</v>
      </c>
      <c r="BZ30" s="21">
        <f t="shared" si="4"/>
        <v>0.2580645161</v>
      </c>
      <c r="CA30" s="22" t="str">
        <f t="shared" si="5"/>
        <v>BAD IN NOV</v>
      </c>
      <c r="CB30" s="19">
        <f t="shared" si="6"/>
        <v>37</v>
      </c>
      <c r="CC30" s="20">
        <f t="shared" si="7"/>
        <v>11</v>
      </c>
      <c r="CD30" s="23">
        <f t="shared" si="8"/>
        <v>0.2972972973</v>
      </c>
      <c r="CE30" s="24" t="str">
        <f t="shared" si="9"/>
        <v>Bad in dec</v>
      </c>
      <c r="CF30" s="24" t="str">
        <f t="shared" si="10"/>
        <v>NOT CONNECT</v>
      </c>
    </row>
    <row r="31">
      <c r="A31" s="25" t="s">
        <v>71</v>
      </c>
      <c r="B31" s="26" t="s">
        <v>72</v>
      </c>
      <c r="C31" s="27">
        <v>9.893343943E9</v>
      </c>
      <c r="D31" s="25" t="s">
        <v>22</v>
      </c>
      <c r="E31" s="28">
        <f t="shared" si="11"/>
        <v>64</v>
      </c>
      <c r="F31" s="28">
        <f t="shared" si="12"/>
        <v>37</v>
      </c>
      <c r="G31" s="29">
        <f t="shared" si="13"/>
        <v>58</v>
      </c>
      <c r="H31" s="28">
        <f t="shared" si="14"/>
        <v>49</v>
      </c>
      <c r="I31" s="28">
        <f t="shared" si="15"/>
        <v>32</v>
      </c>
      <c r="J31" s="35">
        <f t="shared" si="16"/>
        <v>65.30612245</v>
      </c>
      <c r="K31" s="31"/>
      <c r="L31" s="26" t="b">
        <v>1</v>
      </c>
      <c r="M31" s="26" t="b">
        <v>0</v>
      </c>
      <c r="N31" s="26" t="b">
        <v>0</v>
      </c>
      <c r="O31" s="26" t="b">
        <v>1</v>
      </c>
      <c r="P31" s="26" t="b">
        <v>0</v>
      </c>
      <c r="Q31" s="26" t="b">
        <v>1</v>
      </c>
      <c r="R31" s="26" t="b">
        <v>1</v>
      </c>
      <c r="S31" s="26" t="b">
        <v>1</v>
      </c>
      <c r="T31" s="26" t="b">
        <v>1</v>
      </c>
      <c r="U31" s="26" t="b">
        <v>0</v>
      </c>
      <c r="V31" s="26" t="b">
        <v>1</v>
      </c>
      <c r="W31" s="26" t="b">
        <v>1</v>
      </c>
      <c r="X31" s="26" t="b">
        <v>0</v>
      </c>
      <c r="Y31" s="26" t="b">
        <v>1</v>
      </c>
      <c r="Z31" s="26" t="b">
        <v>1</v>
      </c>
      <c r="AA31" s="26" t="b">
        <v>0</v>
      </c>
      <c r="AB31" s="26" t="b">
        <v>1</v>
      </c>
      <c r="AC31" s="26" t="b">
        <v>1</v>
      </c>
      <c r="AD31" s="26" t="b">
        <v>0</v>
      </c>
      <c r="AE31" s="26" t="b">
        <v>0</v>
      </c>
      <c r="AF31" s="26" t="b">
        <v>0</v>
      </c>
      <c r="AG31" s="26" t="b">
        <v>0</v>
      </c>
      <c r="AH31" s="26" t="b">
        <v>1</v>
      </c>
      <c r="AI31" s="26" t="b">
        <v>0</v>
      </c>
      <c r="AJ31" s="26" t="b">
        <v>0</v>
      </c>
      <c r="AK31" s="26" t="b">
        <v>0</v>
      </c>
      <c r="AL31" s="26" t="b">
        <v>1</v>
      </c>
      <c r="AM31" s="26" t="b">
        <v>1</v>
      </c>
      <c r="AN31" s="26" t="b">
        <v>0</v>
      </c>
      <c r="AO31" s="26" t="b">
        <v>1</v>
      </c>
      <c r="AP31" s="26" t="b">
        <v>1</v>
      </c>
      <c r="AQ31" s="26" t="b">
        <v>1</v>
      </c>
      <c r="AR31" s="26" t="b">
        <v>1</v>
      </c>
      <c r="AS31" s="26" t="b">
        <v>1</v>
      </c>
      <c r="AT31" s="26" t="b">
        <v>0</v>
      </c>
      <c r="AU31" s="26" t="b">
        <v>0</v>
      </c>
      <c r="AV31" s="26" t="b">
        <v>1</v>
      </c>
      <c r="AW31" s="26" t="b">
        <v>0</v>
      </c>
      <c r="AX31" s="26" t="b">
        <v>0</v>
      </c>
      <c r="AY31" s="26" t="b">
        <v>0</v>
      </c>
      <c r="AZ31" s="26" t="b">
        <v>1</v>
      </c>
      <c r="BA31" s="26" t="b">
        <v>1</v>
      </c>
      <c r="BB31" s="26" t="b">
        <v>1</v>
      </c>
      <c r="BC31" s="26" t="b">
        <v>1</v>
      </c>
      <c r="BD31" s="26" t="b">
        <v>1</v>
      </c>
      <c r="BE31" s="26" t="b">
        <v>1</v>
      </c>
      <c r="BF31" s="26" t="b">
        <v>1</v>
      </c>
      <c r="BG31" s="26" t="b">
        <v>1</v>
      </c>
      <c r="BH31" s="26" t="b">
        <v>1</v>
      </c>
      <c r="BI31" s="26" t="b">
        <v>0</v>
      </c>
      <c r="BJ31" s="26" t="b">
        <v>0</v>
      </c>
      <c r="BK31" s="26" t="b">
        <v>1</v>
      </c>
      <c r="BL31" s="26" t="b">
        <v>1</v>
      </c>
      <c r="BM31" s="26" t="b">
        <v>1</v>
      </c>
      <c r="BN31" s="26" t="b">
        <v>0</v>
      </c>
      <c r="BO31" s="26" t="b">
        <v>1</v>
      </c>
      <c r="BP31" s="26" t="b">
        <v>1</v>
      </c>
      <c r="BQ31" s="26" t="b">
        <v>0</v>
      </c>
      <c r="BR31" s="26" t="b">
        <v>0</v>
      </c>
      <c r="BS31" s="26" t="b">
        <v>0</v>
      </c>
      <c r="BT31" s="26" t="b">
        <v>1</v>
      </c>
      <c r="BU31" s="26" t="b">
        <v>1</v>
      </c>
      <c r="BV31" s="26" t="b">
        <v>0</v>
      </c>
      <c r="BW31" s="26" t="b">
        <v>0</v>
      </c>
      <c r="BX31" s="19">
        <f t="shared" si="2"/>
        <v>31</v>
      </c>
      <c r="BY31" s="20">
        <f t="shared" si="3"/>
        <v>18</v>
      </c>
      <c r="BZ31" s="21">
        <f t="shared" si="4"/>
        <v>0.5806451613</v>
      </c>
      <c r="CA31" s="22" t="str">
        <f t="shared" si="5"/>
        <v>BAD IN NOV</v>
      </c>
      <c r="CB31" s="19">
        <f t="shared" si="6"/>
        <v>37</v>
      </c>
      <c r="CC31" s="20">
        <f t="shared" si="7"/>
        <v>23</v>
      </c>
      <c r="CD31" s="23">
        <f t="shared" si="8"/>
        <v>0.6216216216</v>
      </c>
      <c r="CE31" s="24" t="str">
        <f t="shared" si="9"/>
        <v>Good in dec</v>
      </c>
      <c r="CF31" s="24" t="str">
        <f t="shared" si="10"/>
        <v>NOT CONNECT</v>
      </c>
    </row>
    <row r="32">
      <c r="A32" s="25" t="s">
        <v>73</v>
      </c>
      <c r="B32" s="26" t="s">
        <v>74</v>
      </c>
      <c r="C32" s="27">
        <v>8.305616184E9</v>
      </c>
      <c r="D32" s="25" t="s">
        <v>22</v>
      </c>
      <c r="E32" s="28">
        <f t="shared" si="11"/>
        <v>64</v>
      </c>
      <c r="F32" s="28">
        <f t="shared" si="12"/>
        <v>37</v>
      </c>
      <c r="G32" s="29">
        <f t="shared" si="13"/>
        <v>58</v>
      </c>
      <c r="H32" s="28">
        <f t="shared" si="14"/>
        <v>49</v>
      </c>
      <c r="I32" s="28">
        <f t="shared" si="15"/>
        <v>33</v>
      </c>
      <c r="J32" s="35">
        <f t="shared" si="16"/>
        <v>67.34693878</v>
      </c>
      <c r="K32" s="31"/>
      <c r="L32" s="26" t="b">
        <v>0</v>
      </c>
      <c r="M32" s="26" t="b">
        <v>1</v>
      </c>
      <c r="N32" s="26" t="b">
        <v>1</v>
      </c>
      <c r="O32" s="26" t="b">
        <v>1</v>
      </c>
      <c r="P32" s="26" t="b">
        <v>1</v>
      </c>
      <c r="Q32" s="26" t="b">
        <v>1</v>
      </c>
      <c r="R32" s="26" t="b">
        <v>1</v>
      </c>
      <c r="S32" s="26" t="b">
        <v>0</v>
      </c>
      <c r="T32" s="26" t="b">
        <v>1</v>
      </c>
      <c r="U32" s="26" t="b">
        <v>0</v>
      </c>
      <c r="V32" s="26" t="b">
        <v>1</v>
      </c>
      <c r="W32" s="26" t="b">
        <v>0</v>
      </c>
      <c r="X32" s="26" t="b">
        <v>0</v>
      </c>
      <c r="Y32" s="26" t="b">
        <v>0</v>
      </c>
      <c r="Z32" s="26" t="b">
        <v>0</v>
      </c>
      <c r="AA32" s="26" t="b">
        <v>0</v>
      </c>
      <c r="AB32" s="26" t="b">
        <v>1</v>
      </c>
      <c r="AC32" s="26" t="b">
        <v>1</v>
      </c>
      <c r="AD32" s="26" t="b">
        <v>0</v>
      </c>
      <c r="AE32" s="26" t="b">
        <v>1</v>
      </c>
      <c r="AF32" s="26" t="b">
        <v>1</v>
      </c>
      <c r="AG32" s="26" t="b">
        <v>0</v>
      </c>
      <c r="AH32" s="26" t="b">
        <v>1</v>
      </c>
      <c r="AI32" s="26" t="b">
        <v>0</v>
      </c>
      <c r="AJ32" s="26" t="b">
        <v>1</v>
      </c>
      <c r="AK32" s="26" t="b">
        <v>1</v>
      </c>
      <c r="AL32" s="26" t="b">
        <v>1</v>
      </c>
      <c r="AM32" s="26" t="b">
        <v>0</v>
      </c>
      <c r="AN32" s="26" t="b">
        <v>0</v>
      </c>
      <c r="AO32" s="26" t="b">
        <v>1</v>
      </c>
      <c r="AP32" s="26" t="b">
        <v>1</v>
      </c>
      <c r="AQ32" s="26" t="b">
        <v>1</v>
      </c>
      <c r="AR32" s="26" t="b">
        <v>1</v>
      </c>
      <c r="AS32" s="26" t="b">
        <v>1</v>
      </c>
      <c r="AT32" s="26" t="b">
        <v>1</v>
      </c>
      <c r="AU32" s="26" t="b">
        <v>1</v>
      </c>
      <c r="AV32" s="26" t="b">
        <v>0</v>
      </c>
      <c r="AW32" s="26" t="b">
        <v>0</v>
      </c>
      <c r="AX32" s="26" t="b">
        <v>1</v>
      </c>
      <c r="AY32" s="26" t="b">
        <v>1</v>
      </c>
      <c r="AZ32" s="26" t="b">
        <v>0</v>
      </c>
      <c r="BA32" s="26" t="b">
        <v>1</v>
      </c>
      <c r="BB32" s="26" t="b">
        <v>1</v>
      </c>
      <c r="BC32" s="26" t="b">
        <v>1</v>
      </c>
      <c r="BD32" s="26" t="b">
        <v>1</v>
      </c>
      <c r="BE32" s="26" t="b">
        <v>1</v>
      </c>
      <c r="BF32" s="26" t="b">
        <v>0</v>
      </c>
      <c r="BG32" s="26" t="b">
        <v>1</v>
      </c>
      <c r="BH32" s="26" t="b">
        <v>0</v>
      </c>
      <c r="BI32" s="26" t="b">
        <v>1</v>
      </c>
      <c r="BJ32" s="26" t="b">
        <v>1</v>
      </c>
      <c r="BK32" s="26" t="b">
        <v>0</v>
      </c>
      <c r="BL32" s="26" t="b">
        <v>0</v>
      </c>
      <c r="BM32" s="26" t="b">
        <v>0</v>
      </c>
      <c r="BN32" s="26" t="b">
        <v>0</v>
      </c>
      <c r="BO32" s="26" t="b">
        <v>0</v>
      </c>
      <c r="BP32" s="26" t="b">
        <v>0</v>
      </c>
      <c r="BQ32" s="26" t="b">
        <v>1</v>
      </c>
      <c r="BR32" s="26" t="b">
        <v>0</v>
      </c>
      <c r="BS32" s="26" t="b">
        <v>1</v>
      </c>
      <c r="BT32" s="26" t="b">
        <v>0</v>
      </c>
      <c r="BU32" s="26" t="b">
        <v>1</v>
      </c>
      <c r="BV32" s="26" t="b">
        <v>0</v>
      </c>
      <c r="BW32" s="26" t="b">
        <v>1</v>
      </c>
      <c r="BX32" s="19">
        <f t="shared" si="2"/>
        <v>31</v>
      </c>
      <c r="BY32" s="20">
        <f t="shared" si="3"/>
        <v>17</v>
      </c>
      <c r="BZ32" s="21">
        <f t="shared" si="4"/>
        <v>0.5483870968</v>
      </c>
      <c r="CA32" s="22" t="str">
        <f t="shared" si="5"/>
        <v>BAD IN NOV</v>
      </c>
      <c r="CB32" s="19">
        <f t="shared" si="6"/>
        <v>37</v>
      </c>
      <c r="CC32" s="20">
        <f t="shared" si="7"/>
        <v>21</v>
      </c>
      <c r="CD32" s="23">
        <f t="shared" si="8"/>
        <v>0.5675675676</v>
      </c>
      <c r="CE32" s="24" t="str">
        <f t="shared" si="9"/>
        <v>Good in dec</v>
      </c>
      <c r="CF32" s="24" t="str">
        <f t="shared" si="10"/>
        <v>NOT CONNECT</v>
      </c>
    </row>
    <row r="33">
      <c r="A33" s="25" t="s">
        <v>75</v>
      </c>
      <c r="B33" s="26" t="s">
        <v>76</v>
      </c>
      <c r="C33" s="27">
        <v>8.435283501E9</v>
      </c>
      <c r="D33" s="25" t="s">
        <v>22</v>
      </c>
      <c r="E33" s="28">
        <f t="shared" si="11"/>
        <v>64</v>
      </c>
      <c r="F33" s="28">
        <f t="shared" si="12"/>
        <v>42</v>
      </c>
      <c r="G33" s="29">
        <f t="shared" si="13"/>
        <v>66</v>
      </c>
      <c r="H33" s="28">
        <f t="shared" si="14"/>
        <v>49</v>
      </c>
      <c r="I33" s="28">
        <f t="shared" si="15"/>
        <v>36</v>
      </c>
      <c r="J33" s="30">
        <f t="shared" si="16"/>
        <v>73.46938776</v>
      </c>
      <c r="K33" s="31"/>
      <c r="L33" s="26" t="b">
        <v>0</v>
      </c>
      <c r="M33" s="26" t="b">
        <v>0</v>
      </c>
      <c r="N33" s="26" t="b">
        <v>0</v>
      </c>
      <c r="O33" s="26" t="b">
        <v>0</v>
      </c>
      <c r="P33" s="26" t="b">
        <v>1</v>
      </c>
      <c r="Q33" s="26" t="b">
        <v>1</v>
      </c>
      <c r="R33" s="26" t="b">
        <v>1</v>
      </c>
      <c r="S33" s="26" t="b">
        <v>1</v>
      </c>
      <c r="T33" s="26" t="b">
        <v>0</v>
      </c>
      <c r="U33" s="26" t="b">
        <v>0</v>
      </c>
      <c r="V33" s="26" t="b">
        <v>0</v>
      </c>
      <c r="W33" s="26" t="b">
        <v>0</v>
      </c>
      <c r="X33" s="26" t="b">
        <v>0</v>
      </c>
      <c r="Y33" s="26" t="b">
        <v>0</v>
      </c>
      <c r="Z33" s="26" t="b">
        <v>1</v>
      </c>
      <c r="AA33" s="26" t="b">
        <v>0</v>
      </c>
      <c r="AB33" s="26" t="b">
        <v>1</v>
      </c>
      <c r="AC33" s="26" t="b">
        <v>1</v>
      </c>
      <c r="AD33" s="26" t="b">
        <v>0</v>
      </c>
      <c r="AE33" s="26" t="b">
        <v>1</v>
      </c>
      <c r="AF33" s="26" t="b">
        <v>0</v>
      </c>
      <c r="AG33" s="26" t="b">
        <v>0</v>
      </c>
      <c r="AH33" s="26" t="b">
        <v>1</v>
      </c>
      <c r="AI33" s="26" t="b">
        <v>0</v>
      </c>
      <c r="AJ33" s="26" t="b">
        <v>1</v>
      </c>
      <c r="AK33" s="26" t="b">
        <v>1</v>
      </c>
      <c r="AL33" s="26" t="b">
        <v>1</v>
      </c>
      <c r="AM33" s="26" t="b">
        <v>1</v>
      </c>
      <c r="AN33" s="26" t="b">
        <v>0</v>
      </c>
      <c r="AO33" s="26" t="b">
        <v>1</v>
      </c>
      <c r="AP33" s="26" t="b">
        <v>1</v>
      </c>
      <c r="AQ33" s="26" t="b">
        <v>1</v>
      </c>
      <c r="AR33" s="26" t="b">
        <v>1</v>
      </c>
      <c r="AS33" s="26" t="b">
        <v>0</v>
      </c>
      <c r="AT33" s="26" t="b">
        <v>0</v>
      </c>
      <c r="AU33" s="26" t="b">
        <v>0</v>
      </c>
      <c r="AV33" s="26" t="b">
        <v>1</v>
      </c>
      <c r="AW33" s="26" t="b">
        <v>1</v>
      </c>
      <c r="AX33" s="26" t="b">
        <v>1</v>
      </c>
      <c r="AY33" s="26" t="b">
        <v>1</v>
      </c>
      <c r="AZ33" s="26" t="b">
        <v>1</v>
      </c>
      <c r="BA33" s="26" t="b">
        <v>1</v>
      </c>
      <c r="BB33" s="26" t="b">
        <v>1</v>
      </c>
      <c r="BC33" s="26" t="b">
        <v>1</v>
      </c>
      <c r="BD33" s="26" t="b">
        <v>1</v>
      </c>
      <c r="BE33" s="26" t="b">
        <v>1</v>
      </c>
      <c r="BF33" s="26" t="b">
        <v>1</v>
      </c>
      <c r="BG33" s="26" t="b">
        <v>1</v>
      </c>
      <c r="BH33" s="26" t="b">
        <v>1</v>
      </c>
      <c r="BI33" s="26" t="b">
        <v>0</v>
      </c>
      <c r="BJ33" s="26" t="b">
        <v>0</v>
      </c>
      <c r="BK33" s="26" t="b">
        <v>1</v>
      </c>
      <c r="BL33" s="26" t="b">
        <v>1</v>
      </c>
      <c r="BM33" s="26" t="b">
        <v>1</v>
      </c>
      <c r="BN33" s="26" t="b">
        <v>1</v>
      </c>
      <c r="BO33" s="26" t="b">
        <v>1</v>
      </c>
      <c r="BP33" s="26" t="b">
        <v>1</v>
      </c>
      <c r="BQ33" s="26" t="b">
        <v>1</v>
      </c>
      <c r="BR33" s="26" t="b">
        <v>1</v>
      </c>
      <c r="BS33" s="26" t="b">
        <v>1</v>
      </c>
      <c r="BT33" s="26" t="b">
        <v>1</v>
      </c>
      <c r="BU33" s="26" t="b">
        <v>1</v>
      </c>
      <c r="BV33" s="26" t="b">
        <v>1</v>
      </c>
      <c r="BW33" s="26" t="b">
        <v>0</v>
      </c>
      <c r="BX33" s="19">
        <f t="shared" si="2"/>
        <v>31</v>
      </c>
      <c r="BY33" s="20">
        <f t="shared" si="3"/>
        <v>25</v>
      </c>
      <c r="BZ33" s="21">
        <f t="shared" si="4"/>
        <v>0.8064516129</v>
      </c>
      <c r="CA33" s="22" t="str">
        <f t="shared" si="5"/>
        <v>GOOD IN NOV</v>
      </c>
      <c r="CB33" s="19">
        <f t="shared" si="6"/>
        <v>37</v>
      </c>
      <c r="CC33" s="20">
        <f t="shared" si="7"/>
        <v>30</v>
      </c>
      <c r="CD33" s="23">
        <f t="shared" si="8"/>
        <v>0.8108108108</v>
      </c>
      <c r="CE33" s="24" t="str">
        <f t="shared" si="9"/>
        <v>Good in dec</v>
      </c>
      <c r="CF33" s="24" t="str">
        <f t="shared" si="10"/>
        <v>NOT CONNECT</v>
      </c>
    </row>
    <row r="34">
      <c r="A34" s="25" t="s">
        <v>77</v>
      </c>
      <c r="B34" s="26" t="s">
        <v>78</v>
      </c>
      <c r="C34" s="27">
        <v>9.617278967E9</v>
      </c>
      <c r="D34" s="25" t="s">
        <v>22</v>
      </c>
      <c r="E34" s="28">
        <f t="shared" si="11"/>
        <v>64</v>
      </c>
      <c r="F34" s="28">
        <f t="shared" si="12"/>
        <v>44</v>
      </c>
      <c r="G34" s="29">
        <f t="shared" si="13"/>
        <v>69</v>
      </c>
      <c r="H34" s="28">
        <f t="shared" si="14"/>
        <v>49</v>
      </c>
      <c r="I34" s="28">
        <f t="shared" si="15"/>
        <v>39</v>
      </c>
      <c r="J34" s="30">
        <f t="shared" si="16"/>
        <v>79.59183673</v>
      </c>
      <c r="K34" s="31"/>
      <c r="L34" s="26" t="b">
        <v>0</v>
      </c>
      <c r="M34" s="26" t="b">
        <v>1</v>
      </c>
      <c r="N34" s="26" t="b">
        <v>0</v>
      </c>
      <c r="O34" s="26" t="b">
        <v>0</v>
      </c>
      <c r="P34" s="26" t="b">
        <v>1</v>
      </c>
      <c r="Q34" s="26" t="b">
        <v>1</v>
      </c>
      <c r="R34" s="26" t="b">
        <v>0</v>
      </c>
      <c r="S34" s="26" t="b">
        <v>0</v>
      </c>
      <c r="T34" s="26" t="b">
        <v>1</v>
      </c>
      <c r="U34" s="26" t="b">
        <v>0</v>
      </c>
      <c r="V34" s="26" t="b">
        <v>1</v>
      </c>
      <c r="W34" s="26" t="b">
        <v>1</v>
      </c>
      <c r="X34" s="26" t="b">
        <v>0</v>
      </c>
      <c r="Y34" s="26" t="b">
        <v>1</v>
      </c>
      <c r="Z34" s="26" t="b">
        <v>1</v>
      </c>
      <c r="AA34" s="26" t="b">
        <v>0</v>
      </c>
      <c r="AB34" s="26" t="b">
        <v>1</v>
      </c>
      <c r="AC34" s="26" t="b">
        <v>0</v>
      </c>
      <c r="AD34" s="26" t="b">
        <v>0</v>
      </c>
      <c r="AE34" s="26" t="b">
        <v>1</v>
      </c>
      <c r="AF34" s="26" t="b">
        <v>1</v>
      </c>
      <c r="AG34" s="26" t="b">
        <v>0</v>
      </c>
      <c r="AH34" s="26" t="b">
        <v>1</v>
      </c>
      <c r="AI34" s="26" t="b">
        <v>1</v>
      </c>
      <c r="AJ34" s="26" t="b">
        <v>1</v>
      </c>
      <c r="AK34" s="26" t="b">
        <v>1</v>
      </c>
      <c r="AL34" s="26" t="b">
        <v>1</v>
      </c>
      <c r="AM34" s="26" t="b">
        <v>1</v>
      </c>
      <c r="AN34" s="26" t="b">
        <v>0</v>
      </c>
      <c r="AO34" s="26" t="b">
        <v>1</v>
      </c>
      <c r="AP34" s="26" t="b">
        <v>1</v>
      </c>
      <c r="AQ34" s="26" t="b">
        <v>0</v>
      </c>
      <c r="AR34" s="26" t="b">
        <v>1</v>
      </c>
      <c r="AS34" s="26" t="b">
        <v>1</v>
      </c>
      <c r="AT34" s="26" t="b">
        <v>0</v>
      </c>
      <c r="AU34" s="26" t="b">
        <v>1</v>
      </c>
      <c r="AV34" s="26" t="b">
        <v>0</v>
      </c>
      <c r="AW34" s="26" t="b">
        <v>0</v>
      </c>
      <c r="AX34" s="26" t="b">
        <v>0</v>
      </c>
      <c r="AY34" s="26" t="b">
        <v>1</v>
      </c>
      <c r="AZ34" s="26" t="b">
        <v>1</v>
      </c>
      <c r="BA34" s="26" t="b">
        <v>1</v>
      </c>
      <c r="BB34" s="26" t="b">
        <v>0</v>
      </c>
      <c r="BC34" s="26" t="b">
        <v>0</v>
      </c>
      <c r="BD34" s="26" t="b">
        <v>0</v>
      </c>
      <c r="BE34" s="26" t="b">
        <v>1</v>
      </c>
      <c r="BF34" s="26" t="b">
        <v>1</v>
      </c>
      <c r="BG34" s="26" t="b">
        <v>1</v>
      </c>
      <c r="BH34" s="26" t="b">
        <v>1</v>
      </c>
      <c r="BI34" s="26" t="b">
        <v>1</v>
      </c>
      <c r="BJ34" s="26" t="b">
        <v>1</v>
      </c>
      <c r="BK34" s="26" t="b">
        <v>1</v>
      </c>
      <c r="BL34" s="26" t="b">
        <v>1</v>
      </c>
      <c r="BM34" s="26" t="b">
        <v>1</v>
      </c>
      <c r="BN34" s="26" t="b">
        <v>1</v>
      </c>
      <c r="BO34" s="26" t="b">
        <v>1</v>
      </c>
      <c r="BP34" s="26" t="b">
        <v>1</v>
      </c>
      <c r="BQ34" s="26" t="b">
        <v>1</v>
      </c>
      <c r="BR34" s="26" t="b">
        <v>1</v>
      </c>
      <c r="BS34" s="26" t="b">
        <v>1</v>
      </c>
      <c r="BT34" s="26" t="b">
        <v>1</v>
      </c>
      <c r="BU34" s="26" t="b">
        <v>1</v>
      </c>
      <c r="BV34" s="26" t="b">
        <v>1</v>
      </c>
      <c r="BW34" s="26" t="b">
        <v>1</v>
      </c>
      <c r="BX34" s="19">
        <f t="shared" si="2"/>
        <v>31</v>
      </c>
      <c r="BY34" s="20">
        <f t="shared" si="3"/>
        <v>24</v>
      </c>
      <c r="BZ34" s="21">
        <f t="shared" si="4"/>
        <v>0.7741935484</v>
      </c>
      <c r="CA34" s="22" t="str">
        <f t="shared" si="5"/>
        <v>GOOD IN NOV</v>
      </c>
      <c r="CB34" s="19">
        <f t="shared" si="6"/>
        <v>37</v>
      </c>
      <c r="CC34" s="20">
        <f t="shared" si="7"/>
        <v>28</v>
      </c>
      <c r="CD34" s="23">
        <f t="shared" si="8"/>
        <v>0.7567567568</v>
      </c>
      <c r="CE34" s="24" t="str">
        <f t="shared" si="9"/>
        <v>Good in dec</v>
      </c>
      <c r="CF34" s="24" t="str">
        <f t="shared" si="10"/>
        <v>NOT CONNECT</v>
      </c>
    </row>
    <row r="35">
      <c r="A35" s="31" t="s">
        <v>79</v>
      </c>
      <c r="B35" s="33" t="s">
        <v>80</v>
      </c>
      <c r="C35" s="34">
        <v>8.269616745E9</v>
      </c>
      <c r="D35" s="25" t="s">
        <v>22</v>
      </c>
      <c r="E35" s="28">
        <f t="shared" si="11"/>
        <v>64</v>
      </c>
      <c r="F35" s="28">
        <f t="shared" si="12"/>
        <v>39</v>
      </c>
      <c r="G35" s="29">
        <f t="shared" si="13"/>
        <v>61</v>
      </c>
      <c r="H35" s="28">
        <f t="shared" si="14"/>
        <v>49</v>
      </c>
      <c r="I35" s="28">
        <f t="shared" si="15"/>
        <v>36</v>
      </c>
      <c r="J35" s="30">
        <f t="shared" si="16"/>
        <v>73.46938776</v>
      </c>
      <c r="K35" s="31"/>
      <c r="L35" s="26" t="b">
        <v>0</v>
      </c>
      <c r="M35" s="26" t="b">
        <v>1</v>
      </c>
      <c r="N35" s="26" t="b">
        <v>0</v>
      </c>
      <c r="O35" s="26" t="b">
        <v>1</v>
      </c>
      <c r="P35" s="26" t="b">
        <v>0</v>
      </c>
      <c r="Q35" s="26" t="b">
        <v>1</v>
      </c>
      <c r="R35" s="26" t="b">
        <v>0</v>
      </c>
      <c r="S35" s="26" t="b">
        <v>1</v>
      </c>
      <c r="T35" s="26" t="b">
        <v>1</v>
      </c>
      <c r="U35" s="26" t="b">
        <v>0</v>
      </c>
      <c r="V35" s="26" t="b">
        <v>1</v>
      </c>
      <c r="W35" s="26" t="b">
        <v>1</v>
      </c>
      <c r="X35" s="26" t="b">
        <v>0</v>
      </c>
      <c r="Y35" s="26" t="b">
        <v>1</v>
      </c>
      <c r="Z35" s="26" t="b">
        <v>1</v>
      </c>
      <c r="AA35" s="26" t="b">
        <v>0</v>
      </c>
      <c r="AB35" s="26" t="b">
        <v>1</v>
      </c>
      <c r="AC35" s="26" t="b">
        <v>1</v>
      </c>
      <c r="AD35" s="26" t="b">
        <v>0</v>
      </c>
      <c r="AE35" s="26" t="b">
        <v>1</v>
      </c>
      <c r="AF35" s="26" t="b">
        <v>1</v>
      </c>
      <c r="AG35" s="26" t="b">
        <v>0</v>
      </c>
      <c r="AH35" s="26" t="b">
        <v>1</v>
      </c>
      <c r="AI35" s="26" t="b">
        <v>0</v>
      </c>
      <c r="AJ35" s="26" t="b">
        <v>0</v>
      </c>
      <c r="AK35" s="26" t="b">
        <v>1</v>
      </c>
      <c r="AL35" s="26" t="b">
        <v>1</v>
      </c>
      <c r="AM35" s="26" t="b">
        <v>1</v>
      </c>
      <c r="AN35" s="26" t="b">
        <v>0</v>
      </c>
      <c r="AO35" s="26" t="b">
        <v>1</v>
      </c>
      <c r="AP35" s="26" t="b">
        <v>1</v>
      </c>
      <c r="AQ35" s="26" t="b">
        <v>1</v>
      </c>
      <c r="AR35" s="26" t="b">
        <v>1</v>
      </c>
      <c r="AS35" s="26" t="b">
        <v>0</v>
      </c>
      <c r="AT35" s="26" t="b">
        <v>0</v>
      </c>
      <c r="AU35" s="26" t="b">
        <v>0</v>
      </c>
      <c r="AV35" s="26" t="b">
        <v>0</v>
      </c>
      <c r="AW35" s="26" t="b">
        <v>0</v>
      </c>
      <c r="AX35" s="26" t="b">
        <v>0</v>
      </c>
      <c r="AY35" s="26" t="b">
        <v>1</v>
      </c>
      <c r="AZ35" s="26" t="b">
        <v>0</v>
      </c>
      <c r="BA35" s="26" t="b">
        <v>1</v>
      </c>
      <c r="BB35" s="26" t="b">
        <v>0</v>
      </c>
      <c r="BC35" s="26" t="b">
        <v>0</v>
      </c>
      <c r="BD35" s="26" t="b">
        <v>0</v>
      </c>
      <c r="BE35" s="26" t="b">
        <v>1</v>
      </c>
      <c r="BF35" s="26" t="b">
        <v>1</v>
      </c>
      <c r="BG35" s="26" t="b">
        <v>1</v>
      </c>
      <c r="BH35" s="26" t="b">
        <v>0</v>
      </c>
      <c r="BI35" s="26" t="b">
        <v>1</v>
      </c>
      <c r="BJ35" s="26" t="b">
        <v>1</v>
      </c>
      <c r="BK35" s="26" t="b">
        <v>1</v>
      </c>
      <c r="BL35" s="26" t="b">
        <v>0</v>
      </c>
      <c r="BM35" s="26" t="b">
        <v>0</v>
      </c>
      <c r="BN35" s="26" t="b">
        <v>1</v>
      </c>
      <c r="BO35" s="26" t="b">
        <v>1</v>
      </c>
      <c r="BP35" s="26" t="b">
        <v>1</v>
      </c>
      <c r="BQ35" s="26" t="b">
        <v>1</v>
      </c>
      <c r="BR35" s="26" t="b">
        <v>1</v>
      </c>
      <c r="BS35" s="26" t="b">
        <v>1</v>
      </c>
      <c r="BT35" s="26" t="b">
        <v>1</v>
      </c>
      <c r="BU35" s="26" t="b">
        <v>1</v>
      </c>
      <c r="BV35" s="26" t="b">
        <v>1</v>
      </c>
      <c r="BW35" s="26" t="b">
        <v>1</v>
      </c>
      <c r="BX35" s="19">
        <f t="shared" si="2"/>
        <v>31</v>
      </c>
      <c r="BY35" s="20">
        <f t="shared" si="3"/>
        <v>18</v>
      </c>
      <c r="BZ35" s="21">
        <f t="shared" si="4"/>
        <v>0.5806451613</v>
      </c>
      <c r="CA35" s="22" t="str">
        <f t="shared" si="5"/>
        <v>BAD IN NOV</v>
      </c>
      <c r="CB35" s="19">
        <f t="shared" si="6"/>
        <v>37</v>
      </c>
      <c r="CC35" s="20">
        <f t="shared" si="7"/>
        <v>23</v>
      </c>
      <c r="CD35" s="23">
        <f t="shared" si="8"/>
        <v>0.6216216216</v>
      </c>
      <c r="CE35" s="24" t="str">
        <f t="shared" si="9"/>
        <v>Good in dec</v>
      </c>
      <c r="CF35" s="24" t="str">
        <f t="shared" si="10"/>
        <v>NOT CONNECT</v>
      </c>
    </row>
    <row r="36">
      <c r="A36" s="36" t="s">
        <v>81</v>
      </c>
      <c r="B36" s="37" t="s">
        <v>82</v>
      </c>
      <c r="C36" s="38">
        <v>9.65161119E9</v>
      </c>
      <c r="D36" s="36" t="s">
        <v>83</v>
      </c>
      <c r="E36" s="28">
        <f t="shared" si="11"/>
        <v>64</v>
      </c>
      <c r="F36" s="28">
        <f t="shared" si="12"/>
        <v>19</v>
      </c>
      <c r="G36" s="29">
        <f t="shared" si="13"/>
        <v>30</v>
      </c>
      <c r="H36" s="28">
        <f t="shared" si="14"/>
        <v>49</v>
      </c>
      <c r="I36" s="28">
        <f t="shared" si="15"/>
        <v>17</v>
      </c>
      <c r="J36" s="35">
        <f t="shared" si="16"/>
        <v>34.69387755</v>
      </c>
      <c r="K36" s="17"/>
      <c r="L36" s="39" t="b">
        <v>0</v>
      </c>
      <c r="M36" s="39" t="b">
        <v>0</v>
      </c>
      <c r="N36" s="39" t="b">
        <v>0</v>
      </c>
      <c r="O36" s="39" t="b">
        <v>0</v>
      </c>
      <c r="P36" s="39" t="b">
        <v>0</v>
      </c>
      <c r="Q36" s="39" t="b">
        <v>0</v>
      </c>
      <c r="R36" s="39" t="b">
        <v>0</v>
      </c>
      <c r="S36" s="39" t="b">
        <v>0</v>
      </c>
      <c r="T36" s="39" t="b">
        <v>0</v>
      </c>
      <c r="U36" s="39" t="b">
        <v>0</v>
      </c>
      <c r="V36" s="39" t="b">
        <v>0</v>
      </c>
      <c r="W36" s="39" t="b">
        <v>0</v>
      </c>
      <c r="X36" s="39" t="b">
        <v>0</v>
      </c>
      <c r="Y36" s="39" t="b">
        <v>0</v>
      </c>
      <c r="Z36" s="39" t="b">
        <v>0</v>
      </c>
      <c r="AA36" s="39" t="b">
        <v>0</v>
      </c>
      <c r="AB36" s="39" t="b">
        <v>0</v>
      </c>
      <c r="AC36" s="39" t="b">
        <v>0</v>
      </c>
      <c r="AD36" s="39" t="b">
        <v>0</v>
      </c>
      <c r="AE36" s="39" t="b">
        <v>0</v>
      </c>
      <c r="AF36" s="39" t="b">
        <v>0</v>
      </c>
      <c r="AG36" s="39" t="b">
        <v>0</v>
      </c>
      <c r="AH36" s="39" t="b">
        <v>0</v>
      </c>
      <c r="AI36" s="39" t="b">
        <v>0</v>
      </c>
      <c r="AJ36" s="39" t="b">
        <v>0</v>
      </c>
      <c r="AK36" s="39" t="b">
        <v>1</v>
      </c>
      <c r="AL36" s="39" t="b">
        <v>0</v>
      </c>
      <c r="AM36" s="39" t="b">
        <v>0</v>
      </c>
      <c r="AN36" s="39" t="b">
        <v>0</v>
      </c>
      <c r="AO36" s="39" t="b">
        <v>0</v>
      </c>
      <c r="AP36" s="39" t="b">
        <v>0</v>
      </c>
      <c r="AQ36" s="39" t="b">
        <v>0</v>
      </c>
      <c r="AR36" s="39" t="b">
        <v>0</v>
      </c>
      <c r="AS36" s="39" t="b">
        <v>1</v>
      </c>
      <c r="AT36" s="39" t="b">
        <v>0</v>
      </c>
      <c r="AU36" s="39" t="b">
        <v>0</v>
      </c>
      <c r="AV36" s="39" t="b">
        <v>0</v>
      </c>
      <c r="AW36" s="39" t="b">
        <v>0</v>
      </c>
      <c r="AX36" s="39" t="b">
        <v>0</v>
      </c>
      <c r="AY36" s="39" t="b">
        <v>1</v>
      </c>
      <c r="AZ36" s="39" t="b">
        <v>1</v>
      </c>
      <c r="BA36" s="39" t="b">
        <v>1</v>
      </c>
      <c r="BB36" s="39" t="b">
        <v>1</v>
      </c>
      <c r="BC36" s="39" t="b">
        <v>0</v>
      </c>
      <c r="BD36" s="39" t="b">
        <v>1</v>
      </c>
      <c r="BE36" s="39" t="b">
        <v>1</v>
      </c>
      <c r="BF36" s="39" t="b">
        <v>1</v>
      </c>
      <c r="BG36" s="39" t="b">
        <v>1</v>
      </c>
      <c r="BH36" s="39" t="b">
        <v>1</v>
      </c>
      <c r="BI36" s="39" t="b">
        <v>0</v>
      </c>
      <c r="BJ36" s="39" t="b">
        <v>1</v>
      </c>
      <c r="BK36" s="39" t="b">
        <v>0</v>
      </c>
      <c r="BL36" s="39" t="b">
        <v>0</v>
      </c>
      <c r="BM36" s="39" t="b">
        <v>0</v>
      </c>
      <c r="BN36" s="39" t="b">
        <v>1</v>
      </c>
      <c r="BO36" s="39" t="b">
        <v>1</v>
      </c>
      <c r="BP36" s="39" t="b">
        <v>1</v>
      </c>
      <c r="BQ36" s="39" t="b">
        <v>0</v>
      </c>
      <c r="BR36" s="39" t="b">
        <v>0</v>
      </c>
      <c r="BS36" s="39" t="b">
        <v>0</v>
      </c>
      <c r="BT36" s="40" t="b">
        <v>1</v>
      </c>
      <c r="BU36" s="40" t="b">
        <v>1</v>
      </c>
      <c r="BV36" s="40" t="b">
        <v>1</v>
      </c>
      <c r="BW36" s="40" t="b">
        <v>1</v>
      </c>
      <c r="BX36" s="19">
        <f t="shared" si="2"/>
        <v>31</v>
      </c>
      <c r="BY36" s="20">
        <f t="shared" si="3"/>
        <v>18</v>
      </c>
      <c r="BZ36" s="21">
        <f t="shared" si="4"/>
        <v>0.5806451613</v>
      </c>
      <c r="CA36" s="22" t="str">
        <f t="shared" si="5"/>
        <v>BAD IN NOV</v>
      </c>
      <c r="CB36" s="19">
        <f t="shared" si="6"/>
        <v>37</v>
      </c>
      <c r="CC36" s="20">
        <f t="shared" si="7"/>
        <v>18</v>
      </c>
      <c r="CD36" s="23">
        <f t="shared" si="8"/>
        <v>0.4864864865</v>
      </c>
      <c r="CE36" s="24" t="str">
        <f t="shared" si="9"/>
        <v>Good in dec</v>
      </c>
      <c r="CF36" s="24" t="str">
        <f t="shared" si="10"/>
        <v>NOT CONNECT</v>
      </c>
    </row>
    <row r="37">
      <c r="A37" s="36" t="s">
        <v>84</v>
      </c>
      <c r="B37" s="37" t="s">
        <v>85</v>
      </c>
      <c r="C37" s="38">
        <v>8.004468056E9</v>
      </c>
      <c r="D37" s="36" t="s">
        <v>83</v>
      </c>
      <c r="E37" s="28">
        <f t="shared" si="11"/>
        <v>64</v>
      </c>
      <c r="F37" s="28">
        <f t="shared" si="12"/>
        <v>27</v>
      </c>
      <c r="G37" s="29">
        <f t="shared" si="13"/>
        <v>42</v>
      </c>
      <c r="H37" s="28">
        <f t="shared" si="14"/>
        <v>49</v>
      </c>
      <c r="I37" s="28">
        <f t="shared" si="15"/>
        <v>24</v>
      </c>
      <c r="J37" s="35">
        <f t="shared" si="16"/>
        <v>48.97959184</v>
      </c>
      <c r="K37" s="17"/>
      <c r="L37" s="39" t="b">
        <v>0</v>
      </c>
      <c r="M37" s="39" t="b">
        <v>0</v>
      </c>
      <c r="N37" s="39" t="b">
        <v>0</v>
      </c>
      <c r="O37" s="39" t="b">
        <v>0</v>
      </c>
      <c r="P37" s="39" t="b">
        <v>0</v>
      </c>
      <c r="Q37" s="39" t="b">
        <v>0</v>
      </c>
      <c r="R37" s="39" t="b">
        <v>0</v>
      </c>
      <c r="S37" s="39" t="b">
        <v>1</v>
      </c>
      <c r="T37" s="39" t="b">
        <v>0</v>
      </c>
      <c r="U37" s="39" t="b">
        <v>0</v>
      </c>
      <c r="V37" s="39" t="b">
        <v>0</v>
      </c>
      <c r="W37" s="39" t="b">
        <v>1</v>
      </c>
      <c r="X37" s="39" t="b">
        <v>0</v>
      </c>
      <c r="Y37" s="39" t="b">
        <v>0</v>
      </c>
      <c r="Z37" s="39" t="b">
        <v>0</v>
      </c>
      <c r="AA37" s="39" t="b">
        <v>1</v>
      </c>
      <c r="AB37" s="39" t="b">
        <v>1</v>
      </c>
      <c r="AC37" s="39" t="b">
        <v>1</v>
      </c>
      <c r="AD37" s="39" t="b">
        <v>1</v>
      </c>
      <c r="AE37" s="39" t="b">
        <v>1</v>
      </c>
      <c r="AF37" s="39" t="b">
        <v>1</v>
      </c>
      <c r="AG37" s="39" t="b">
        <v>0</v>
      </c>
      <c r="AH37" s="39" t="b">
        <v>1</v>
      </c>
      <c r="AI37" s="39" t="b">
        <v>0</v>
      </c>
      <c r="AJ37" s="39" t="b">
        <v>1</v>
      </c>
      <c r="AK37" s="39" t="b">
        <v>1</v>
      </c>
      <c r="AL37" s="39" t="b">
        <v>1</v>
      </c>
      <c r="AM37" s="39" t="b">
        <v>0</v>
      </c>
      <c r="AN37" s="39" t="b">
        <v>0</v>
      </c>
      <c r="AO37" s="39" t="b">
        <v>0</v>
      </c>
      <c r="AP37" s="39" t="b">
        <v>0</v>
      </c>
      <c r="AQ37" s="39" t="b">
        <v>0</v>
      </c>
      <c r="AR37" s="39" t="b">
        <v>0</v>
      </c>
      <c r="AS37" s="39" t="b">
        <v>1</v>
      </c>
      <c r="AT37" s="39" t="b">
        <v>0</v>
      </c>
      <c r="AU37" s="39" t="b">
        <v>1</v>
      </c>
      <c r="AV37" s="39" t="b">
        <v>1</v>
      </c>
      <c r="AW37" s="39" t="b">
        <v>0</v>
      </c>
      <c r="AX37" s="39" t="b">
        <v>1</v>
      </c>
      <c r="AY37" s="39" t="b">
        <v>0</v>
      </c>
      <c r="AZ37" s="39" t="b">
        <v>1</v>
      </c>
      <c r="BA37" s="39" t="b">
        <v>1</v>
      </c>
      <c r="BB37" s="39" t="b">
        <v>0</v>
      </c>
      <c r="BC37" s="39" t="b">
        <v>0</v>
      </c>
      <c r="BD37" s="39" t="b">
        <v>0</v>
      </c>
      <c r="BE37" s="39" t="b">
        <v>0</v>
      </c>
      <c r="BF37" s="39" t="b">
        <v>0</v>
      </c>
      <c r="BG37" s="39" t="b">
        <v>1</v>
      </c>
      <c r="BH37" s="39" t="b">
        <v>1</v>
      </c>
      <c r="BI37" s="39" t="b">
        <v>0</v>
      </c>
      <c r="BJ37" s="39" t="b">
        <v>0</v>
      </c>
      <c r="BK37" s="39" t="b">
        <v>0</v>
      </c>
      <c r="BL37" s="39" t="b">
        <v>0</v>
      </c>
      <c r="BM37" s="39" t="b">
        <v>0</v>
      </c>
      <c r="BN37" s="39" t="b">
        <v>1</v>
      </c>
      <c r="BO37" s="39" t="b">
        <v>0</v>
      </c>
      <c r="BP37" s="39" t="b">
        <v>1</v>
      </c>
      <c r="BQ37" s="39" t="b">
        <v>1</v>
      </c>
      <c r="BR37" s="39" t="b">
        <v>0</v>
      </c>
      <c r="BS37" s="39" t="b">
        <v>1</v>
      </c>
      <c r="BT37" s="40" t="b">
        <v>0</v>
      </c>
      <c r="BU37" s="40" t="b">
        <v>1</v>
      </c>
      <c r="BV37" s="40" t="b">
        <v>1</v>
      </c>
      <c r="BW37" s="40" t="b">
        <v>1</v>
      </c>
      <c r="BX37" s="19">
        <f t="shared" si="2"/>
        <v>31</v>
      </c>
      <c r="BY37" s="20">
        <f t="shared" si="3"/>
        <v>15</v>
      </c>
      <c r="BZ37" s="21">
        <f t="shared" si="4"/>
        <v>0.4838709677</v>
      </c>
      <c r="CA37" s="22" t="str">
        <f t="shared" si="5"/>
        <v>BAD IN NOV</v>
      </c>
      <c r="CB37" s="19">
        <f t="shared" si="6"/>
        <v>37</v>
      </c>
      <c r="CC37" s="20">
        <f t="shared" si="7"/>
        <v>15</v>
      </c>
      <c r="CD37" s="23">
        <f t="shared" si="8"/>
        <v>0.4054054054</v>
      </c>
      <c r="CE37" s="24" t="str">
        <f t="shared" si="9"/>
        <v>Good in dec</v>
      </c>
      <c r="CF37" s="24" t="str">
        <f t="shared" si="10"/>
        <v>NOT CONNECT</v>
      </c>
    </row>
    <row r="38">
      <c r="A38" s="36" t="s">
        <v>86</v>
      </c>
      <c r="B38" s="37" t="s">
        <v>87</v>
      </c>
      <c r="C38" s="38">
        <v>9.88968094E9</v>
      </c>
      <c r="D38" s="36" t="s">
        <v>83</v>
      </c>
      <c r="E38" s="28">
        <f t="shared" si="11"/>
        <v>64</v>
      </c>
      <c r="F38" s="28">
        <f t="shared" si="12"/>
        <v>18</v>
      </c>
      <c r="G38" s="29">
        <f t="shared" si="13"/>
        <v>28</v>
      </c>
      <c r="H38" s="28">
        <f t="shared" si="14"/>
        <v>49</v>
      </c>
      <c r="I38" s="28">
        <f t="shared" si="15"/>
        <v>15</v>
      </c>
      <c r="J38" s="35">
        <f t="shared" si="16"/>
        <v>30.6122449</v>
      </c>
      <c r="K38" s="17"/>
      <c r="L38" s="39" t="b">
        <v>0</v>
      </c>
      <c r="M38" s="39" t="b">
        <v>0</v>
      </c>
      <c r="N38" s="39" t="b">
        <v>1</v>
      </c>
      <c r="O38" s="39" t="b">
        <v>0</v>
      </c>
      <c r="P38" s="39" t="b">
        <v>0</v>
      </c>
      <c r="Q38" s="39" t="b">
        <v>0</v>
      </c>
      <c r="R38" s="39" t="b">
        <v>0</v>
      </c>
      <c r="S38" s="39" t="b">
        <v>0</v>
      </c>
      <c r="T38" s="39" t="b">
        <v>0</v>
      </c>
      <c r="U38" s="39" t="b">
        <v>0</v>
      </c>
      <c r="V38" s="39" t="b">
        <v>0</v>
      </c>
      <c r="W38" s="39" t="b">
        <v>0</v>
      </c>
      <c r="X38" s="39" t="b">
        <v>0</v>
      </c>
      <c r="Y38" s="39" t="b">
        <v>0</v>
      </c>
      <c r="Z38" s="39" t="b">
        <v>0</v>
      </c>
      <c r="AA38" s="39" t="b">
        <v>0</v>
      </c>
      <c r="AB38" s="39" t="b">
        <v>0</v>
      </c>
      <c r="AC38" s="39" t="b">
        <v>0</v>
      </c>
      <c r="AD38" s="39" t="b">
        <v>0</v>
      </c>
      <c r="AE38" s="39" t="b">
        <v>0</v>
      </c>
      <c r="AF38" s="39" t="b">
        <v>0</v>
      </c>
      <c r="AG38" s="39" t="b">
        <v>0</v>
      </c>
      <c r="AH38" s="39" t="b">
        <v>0</v>
      </c>
      <c r="AI38" s="39" t="b">
        <v>1</v>
      </c>
      <c r="AJ38" s="39" t="b">
        <v>0</v>
      </c>
      <c r="AK38" s="39" t="b">
        <v>0</v>
      </c>
      <c r="AL38" s="39" t="b">
        <v>1</v>
      </c>
      <c r="AM38" s="39" t="b">
        <v>0</v>
      </c>
      <c r="AN38" s="39" t="b">
        <v>0</v>
      </c>
      <c r="AO38" s="39" t="b">
        <v>1</v>
      </c>
      <c r="AP38" s="39" t="b">
        <v>1</v>
      </c>
      <c r="AQ38" s="39" t="b">
        <v>0</v>
      </c>
      <c r="AR38" s="39" t="b">
        <v>1</v>
      </c>
      <c r="AS38" s="39" t="b">
        <v>1</v>
      </c>
      <c r="AT38" s="39" t="b">
        <v>0</v>
      </c>
      <c r="AU38" s="39" t="b">
        <v>1</v>
      </c>
      <c r="AV38" s="39" t="b">
        <v>0</v>
      </c>
      <c r="AW38" s="39" t="b">
        <v>0</v>
      </c>
      <c r="AX38" s="39" t="b">
        <v>0</v>
      </c>
      <c r="AY38" s="39" t="b">
        <v>0</v>
      </c>
      <c r="AZ38" s="39" t="b">
        <v>1</v>
      </c>
      <c r="BA38" s="39" t="b">
        <v>1</v>
      </c>
      <c r="BB38" s="39" t="b">
        <v>0</v>
      </c>
      <c r="BC38" s="39" t="b">
        <v>0</v>
      </c>
      <c r="BD38" s="39" t="b">
        <v>0</v>
      </c>
      <c r="BE38" s="39" t="b">
        <v>0</v>
      </c>
      <c r="BF38" s="39" t="b">
        <v>0</v>
      </c>
      <c r="BG38" s="39" t="b">
        <v>0</v>
      </c>
      <c r="BH38" s="39" t="b">
        <v>0</v>
      </c>
      <c r="BI38" s="39" t="b">
        <v>0</v>
      </c>
      <c r="BJ38" s="39" t="b">
        <v>0</v>
      </c>
      <c r="BK38" s="39" t="b">
        <v>1</v>
      </c>
      <c r="BL38" s="39" t="b">
        <v>1</v>
      </c>
      <c r="BM38" s="39" t="b">
        <v>1</v>
      </c>
      <c r="BN38" s="39" t="b">
        <v>0</v>
      </c>
      <c r="BO38" s="39" t="b">
        <v>0</v>
      </c>
      <c r="BP38" s="39" t="b">
        <v>0</v>
      </c>
      <c r="BQ38" s="39" t="b">
        <v>0</v>
      </c>
      <c r="BR38" s="39" t="b">
        <v>1</v>
      </c>
      <c r="BS38" s="39" t="b">
        <v>1</v>
      </c>
      <c r="BT38" s="40" t="b">
        <v>1</v>
      </c>
      <c r="BU38" s="40" t="b">
        <v>1</v>
      </c>
      <c r="BV38" s="40" t="b">
        <v>1</v>
      </c>
      <c r="BW38" s="40" t="b">
        <v>0</v>
      </c>
      <c r="BX38" s="19">
        <f t="shared" si="2"/>
        <v>31</v>
      </c>
      <c r="BY38" s="20">
        <f t="shared" si="3"/>
        <v>12</v>
      </c>
      <c r="BZ38" s="21">
        <f t="shared" si="4"/>
        <v>0.3870967742</v>
      </c>
      <c r="CA38" s="22" t="str">
        <f t="shared" si="5"/>
        <v>BAD IN NOV</v>
      </c>
      <c r="CB38" s="19">
        <f t="shared" si="6"/>
        <v>37</v>
      </c>
      <c r="CC38" s="20">
        <f t="shared" si="7"/>
        <v>15</v>
      </c>
      <c r="CD38" s="23">
        <f t="shared" si="8"/>
        <v>0.4054054054</v>
      </c>
      <c r="CE38" s="24" t="str">
        <f t="shared" si="9"/>
        <v>Good in dec</v>
      </c>
      <c r="CF38" s="24" t="str">
        <f t="shared" si="10"/>
        <v>NOT CONNECT</v>
      </c>
    </row>
    <row r="39">
      <c r="A39" s="36" t="s">
        <v>88</v>
      </c>
      <c r="B39" s="37" t="s">
        <v>89</v>
      </c>
      <c r="C39" s="38">
        <v>9.026581101E9</v>
      </c>
      <c r="D39" s="36" t="s">
        <v>83</v>
      </c>
      <c r="E39" s="28">
        <f t="shared" si="11"/>
        <v>64</v>
      </c>
      <c r="F39" s="28">
        <f t="shared" si="12"/>
        <v>47</v>
      </c>
      <c r="G39" s="32">
        <f t="shared" si="13"/>
        <v>73</v>
      </c>
      <c r="H39" s="28">
        <f t="shared" si="14"/>
        <v>49</v>
      </c>
      <c r="I39" s="28">
        <f t="shared" si="15"/>
        <v>40</v>
      </c>
      <c r="J39" s="30">
        <f t="shared" si="16"/>
        <v>81.63265306</v>
      </c>
      <c r="K39" s="17"/>
      <c r="L39" s="39" t="b">
        <v>1</v>
      </c>
      <c r="M39" s="39" t="b">
        <v>0</v>
      </c>
      <c r="N39" s="39" t="b">
        <v>1</v>
      </c>
      <c r="O39" s="39" t="b">
        <v>0</v>
      </c>
      <c r="P39" s="39" t="b">
        <v>1</v>
      </c>
      <c r="Q39" s="39" t="b">
        <v>1</v>
      </c>
      <c r="R39" s="39" t="b">
        <v>0</v>
      </c>
      <c r="S39" s="39" t="b">
        <v>1</v>
      </c>
      <c r="T39" s="39" t="b">
        <v>0</v>
      </c>
      <c r="U39" s="39" t="b">
        <v>0</v>
      </c>
      <c r="V39" s="39" t="b">
        <v>0</v>
      </c>
      <c r="W39" s="39" t="b">
        <v>1</v>
      </c>
      <c r="X39" s="39" t="b">
        <v>0</v>
      </c>
      <c r="Y39" s="39" t="b">
        <v>1</v>
      </c>
      <c r="Z39" s="39" t="b">
        <v>0</v>
      </c>
      <c r="AA39" s="39" t="b">
        <v>0</v>
      </c>
      <c r="AB39" s="39" t="b">
        <v>0</v>
      </c>
      <c r="AC39" s="39" t="b">
        <v>1</v>
      </c>
      <c r="AD39" s="39" t="b">
        <v>0</v>
      </c>
      <c r="AE39" s="39" t="b">
        <v>0</v>
      </c>
      <c r="AF39" s="39" t="b">
        <v>0</v>
      </c>
      <c r="AG39" s="39" t="b">
        <v>0</v>
      </c>
      <c r="AH39" s="39" t="b">
        <v>1</v>
      </c>
      <c r="AI39" s="39" t="b">
        <v>1</v>
      </c>
      <c r="AJ39" s="39" t="b">
        <v>1</v>
      </c>
      <c r="AK39" s="39" t="b">
        <v>1</v>
      </c>
      <c r="AL39" s="39" t="b">
        <v>1</v>
      </c>
      <c r="AM39" s="39" t="b">
        <v>1</v>
      </c>
      <c r="AN39" s="39" t="b">
        <v>0</v>
      </c>
      <c r="AO39" s="39" t="b">
        <v>1</v>
      </c>
      <c r="AP39" s="39" t="b">
        <v>1</v>
      </c>
      <c r="AQ39" s="39" t="b">
        <v>1</v>
      </c>
      <c r="AR39" s="39" t="b">
        <v>1</v>
      </c>
      <c r="AS39" s="39" t="b">
        <v>1</v>
      </c>
      <c r="AT39" s="39" t="b">
        <v>1</v>
      </c>
      <c r="AU39" s="39" t="b">
        <v>1</v>
      </c>
      <c r="AV39" s="39" t="b">
        <v>1</v>
      </c>
      <c r="AW39" s="39" t="b">
        <v>1</v>
      </c>
      <c r="AX39" s="39" t="b">
        <v>1</v>
      </c>
      <c r="AY39" s="39" t="b">
        <v>1</v>
      </c>
      <c r="AZ39" s="39" t="b">
        <v>0</v>
      </c>
      <c r="BA39" s="39" t="b">
        <v>1</v>
      </c>
      <c r="BB39" s="39" t="b">
        <v>1</v>
      </c>
      <c r="BC39" s="39" t="b">
        <v>0</v>
      </c>
      <c r="BD39" s="39" t="b">
        <v>1</v>
      </c>
      <c r="BE39" s="39" t="b">
        <v>1</v>
      </c>
      <c r="BF39" s="39" t="b">
        <v>1</v>
      </c>
      <c r="BG39" s="39" t="b">
        <v>1</v>
      </c>
      <c r="BH39" s="39" t="b">
        <v>1</v>
      </c>
      <c r="BI39" s="39" t="b">
        <v>1</v>
      </c>
      <c r="BJ39" s="39" t="b">
        <v>1</v>
      </c>
      <c r="BK39" s="39" t="b">
        <v>1</v>
      </c>
      <c r="BL39" s="39" t="b">
        <v>1</v>
      </c>
      <c r="BM39" s="39" t="b">
        <v>1</v>
      </c>
      <c r="BN39" s="39" t="b">
        <v>1</v>
      </c>
      <c r="BO39" s="39" t="b">
        <v>1</v>
      </c>
      <c r="BP39" s="39" t="b">
        <v>1</v>
      </c>
      <c r="BQ39" s="39" t="b">
        <v>1</v>
      </c>
      <c r="BR39" s="39" t="b">
        <v>1</v>
      </c>
      <c r="BS39" s="39" t="b">
        <v>1</v>
      </c>
      <c r="BT39" s="40" t="b">
        <v>1</v>
      </c>
      <c r="BU39" s="40" t="b">
        <v>1</v>
      </c>
      <c r="BV39" s="40" t="b">
        <v>1</v>
      </c>
      <c r="BW39" s="40" t="b">
        <v>1</v>
      </c>
      <c r="BX39" s="19">
        <f t="shared" si="2"/>
        <v>31</v>
      </c>
      <c r="BY39" s="20">
        <f t="shared" si="3"/>
        <v>29</v>
      </c>
      <c r="BZ39" s="21">
        <f t="shared" si="4"/>
        <v>0.935483871</v>
      </c>
      <c r="CA39" s="22" t="str">
        <f t="shared" si="5"/>
        <v>GOOD IN NOV</v>
      </c>
      <c r="CB39" s="19">
        <f t="shared" si="6"/>
        <v>37</v>
      </c>
      <c r="CC39" s="20">
        <f t="shared" si="7"/>
        <v>34</v>
      </c>
      <c r="CD39" s="23">
        <f t="shared" si="8"/>
        <v>0.9189189189</v>
      </c>
      <c r="CE39" s="24" t="str">
        <f t="shared" si="9"/>
        <v>Good in dec</v>
      </c>
      <c r="CF39" s="24" t="str">
        <f t="shared" si="10"/>
        <v>NOT CONNECT</v>
      </c>
    </row>
    <row r="40">
      <c r="A40" s="36" t="s">
        <v>90</v>
      </c>
      <c r="B40" s="37" t="s">
        <v>91</v>
      </c>
      <c r="C40" s="38">
        <v>6.306239288E9</v>
      </c>
      <c r="D40" s="36" t="s">
        <v>83</v>
      </c>
      <c r="E40" s="28">
        <f t="shared" si="11"/>
        <v>64</v>
      </c>
      <c r="F40" s="28">
        <f t="shared" si="12"/>
        <v>46</v>
      </c>
      <c r="G40" s="32">
        <f t="shared" si="13"/>
        <v>72</v>
      </c>
      <c r="H40" s="28">
        <f t="shared" si="14"/>
        <v>49</v>
      </c>
      <c r="I40" s="28">
        <f t="shared" si="15"/>
        <v>39</v>
      </c>
      <c r="J40" s="30">
        <f t="shared" si="16"/>
        <v>79.59183673</v>
      </c>
      <c r="K40" s="17"/>
      <c r="L40" s="39" t="b">
        <v>1</v>
      </c>
      <c r="M40" s="39" t="b">
        <v>1</v>
      </c>
      <c r="N40" s="39" t="b">
        <v>1</v>
      </c>
      <c r="O40" s="39" t="b">
        <v>1</v>
      </c>
      <c r="P40" s="39" t="b">
        <v>0</v>
      </c>
      <c r="Q40" s="39" t="b">
        <v>0</v>
      </c>
      <c r="R40" s="39" t="b">
        <v>1</v>
      </c>
      <c r="S40" s="39" t="b">
        <v>0</v>
      </c>
      <c r="T40" s="39" t="b">
        <v>0</v>
      </c>
      <c r="U40" s="39" t="b">
        <v>0</v>
      </c>
      <c r="V40" s="39" t="b">
        <v>1</v>
      </c>
      <c r="W40" s="39" t="b">
        <v>1</v>
      </c>
      <c r="X40" s="39" t="b">
        <v>0</v>
      </c>
      <c r="Y40" s="39" t="b">
        <v>0</v>
      </c>
      <c r="Z40" s="39" t="b">
        <v>1</v>
      </c>
      <c r="AA40" s="39" t="b">
        <v>1</v>
      </c>
      <c r="AB40" s="39" t="b">
        <v>1</v>
      </c>
      <c r="AC40" s="39" t="b">
        <v>1</v>
      </c>
      <c r="AD40" s="39" t="b">
        <v>1</v>
      </c>
      <c r="AE40" s="39" t="b">
        <v>1</v>
      </c>
      <c r="AF40" s="39" t="b">
        <v>1</v>
      </c>
      <c r="AG40" s="39" t="b">
        <v>0</v>
      </c>
      <c r="AH40" s="39" t="b">
        <v>1</v>
      </c>
      <c r="AI40" s="39" t="b">
        <v>0</v>
      </c>
      <c r="AJ40" s="39" t="b">
        <v>1</v>
      </c>
      <c r="AK40" s="39" t="b">
        <v>1</v>
      </c>
      <c r="AL40" s="39" t="b">
        <v>0</v>
      </c>
      <c r="AM40" s="39" t="b">
        <v>1</v>
      </c>
      <c r="AN40" s="39" t="b">
        <v>0</v>
      </c>
      <c r="AO40" s="39" t="b">
        <v>0</v>
      </c>
      <c r="AP40" s="39" t="b">
        <v>1</v>
      </c>
      <c r="AQ40" s="39" t="b">
        <v>0</v>
      </c>
      <c r="AR40" s="39" t="b">
        <v>0</v>
      </c>
      <c r="AS40" s="39" t="b">
        <v>0</v>
      </c>
      <c r="AT40" s="39" t="b">
        <v>1</v>
      </c>
      <c r="AU40" s="39" t="b">
        <v>1</v>
      </c>
      <c r="AV40" s="39" t="b">
        <v>1</v>
      </c>
      <c r="AW40" s="39" t="b">
        <v>0</v>
      </c>
      <c r="AX40" s="39" t="b">
        <v>1</v>
      </c>
      <c r="AY40" s="39" t="b">
        <v>1</v>
      </c>
      <c r="AZ40" s="39" t="b">
        <v>1</v>
      </c>
      <c r="BA40" s="39" t="b">
        <v>1</v>
      </c>
      <c r="BB40" s="39" t="b">
        <v>1</v>
      </c>
      <c r="BC40" s="39" t="b">
        <v>1</v>
      </c>
      <c r="BD40" s="39" t="b">
        <v>1</v>
      </c>
      <c r="BE40" s="39" t="b">
        <v>1</v>
      </c>
      <c r="BF40" s="39" t="b">
        <v>0</v>
      </c>
      <c r="BG40" s="39" t="b">
        <v>1</v>
      </c>
      <c r="BH40" s="39" t="b">
        <v>0</v>
      </c>
      <c r="BI40" s="39" t="b">
        <v>1</v>
      </c>
      <c r="BJ40" s="39" t="b">
        <v>1</v>
      </c>
      <c r="BK40" s="39" t="b">
        <v>1</v>
      </c>
      <c r="BL40" s="39" t="b">
        <v>1</v>
      </c>
      <c r="BM40" s="39" t="b">
        <v>1</v>
      </c>
      <c r="BN40" s="39" t="b">
        <v>1</v>
      </c>
      <c r="BO40" s="39" t="b">
        <v>1</v>
      </c>
      <c r="BP40" s="39" t="b">
        <v>1</v>
      </c>
      <c r="BQ40" s="39" t="b">
        <v>1</v>
      </c>
      <c r="BR40" s="39" t="b">
        <v>1</v>
      </c>
      <c r="BS40" s="39" t="b">
        <v>1</v>
      </c>
      <c r="BT40" s="40" t="b">
        <v>1</v>
      </c>
      <c r="BU40" s="40" t="b">
        <v>1</v>
      </c>
      <c r="BV40" s="40" t="b">
        <v>1</v>
      </c>
      <c r="BW40" s="40" t="b">
        <v>1</v>
      </c>
      <c r="BX40" s="19">
        <f t="shared" si="2"/>
        <v>31</v>
      </c>
      <c r="BY40" s="20">
        <f t="shared" si="3"/>
        <v>27</v>
      </c>
      <c r="BZ40" s="21">
        <f t="shared" si="4"/>
        <v>0.8709677419</v>
      </c>
      <c r="CA40" s="22" t="str">
        <f t="shared" si="5"/>
        <v>GOOD IN NOV</v>
      </c>
      <c r="CB40" s="19">
        <f t="shared" si="6"/>
        <v>37</v>
      </c>
      <c r="CC40" s="20">
        <f t="shared" si="7"/>
        <v>29</v>
      </c>
      <c r="CD40" s="23">
        <f t="shared" si="8"/>
        <v>0.7837837838</v>
      </c>
      <c r="CE40" s="24" t="str">
        <f t="shared" si="9"/>
        <v>Good in dec</v>
      </c>
      <c r="CF40" s="24" t="str">
        <f t="shared" si="10"/>
        <v>NOT CONNECT</v>
      </c>
    </row>
    <row r="41">
      <c r="A41" s="36" t="s">
        <v>92</v>
      </c>
      <c r="B41" s="41"/>
      <c r="C41" s="38">
        <v>8.808148079E9</v>
      </c>
      <c r="D41" s="36" t="s">
        <v>83</v>
      </c>
      <c r="E41" s="28">
        <f t="shared" si="11"/>
        <v>64</v>
      </c>
      <c r="F41" s="28">
        <f t="shared" si="12"/>
        <v>2</v>
      </c>
      <c r="G41" s="29">
        <f t="shared" si="13"/>
        <v>3</v>
      </c>
      <c r="H41" s="28">
        <f t="shared" si="14"/>
        <v>49</v>
      </c>
      <c r="I41" s="28">
        <f t="shared" si="15"/>
        <v>2</v>
      </c>
      <c r="J41" s="35">
        <f t="shared" si="16"/>
        <v>4.081632653</v>
      </c>
      <c r="K41" s="17"/>
      <c r="L41" s="39" t="b">
        <v>0</v>
      </c>
      <c r="M41" s="39" t="b">
        <v>0</v>
      </c>
      <c r="N41" s="39" t="b">
        <v>0</v>
      </c>
      <c r="O41" s="39" t="b">
        <v>0</v>
      </c>
      <c r="P41" s="39" t="b">
        <v>0</v>
      </c>
      <c r="Q41" s="39" t="b">
        <v>0</v>
      </c>
      <c r="R41" s="39" t="b">
        <v>0</v>
      </c>
      <c r="S41" s="39" t="b">
        <v>0</v>
      </c>
      <c r="T41" s="39" t="b">
        <v>0</v>
      </c>
      <c r="U41" s="39" t="b">
        <v>0</v>
      </c>
      <c r="V41" s="39" t="b">
        <v>0</v>
      </c>
      <c r="W41" s="39" t="b">
        <v>0</v>
      </c>
      <c r="X41" s="39" t="b">
        <v>0</v>
      </c>
      <c r="Y41" s="39" t="b">
        <v>0</v>
      </c>
      <c r="Z41" s="39" t="b">
        <v>0</v>
      </c>
      <c r="AA41" s="39" t="b">
        <v>0</v>
      </c>
      <c r="AB41" s="39" t="b">
        <v>0</v>
      </c>
      <c r="AC41" s="39" t="b">
        <v>0</v>
      </c>
      <c r="AD41" s="39" t="b">
        <v>0</v>
      </c>
      <c r="AE41" s="39" t="b">
        <v>0</v>
      </c>
      <c r="AF41" s="39" t="b">
        <v>0</v>
      </c>
      <c r="AG41" s="39" t="b">
        <v>0</v>
      </c>
      <c r="AH41" s="39" t="b">
        <v>0</v>
      </c>
      <c r="AI41" s="39" t="b">
        <v>0</v>
      </c>
      <c r="AJ41" s="39" t="b">
        <v>0</v>
      </c>
      <c r="AK41" s="39" t="b">
        <v>0</v>
      </c>
      <c r="AL41" s="39" t="b">
        <v>0</v>
      </c>
      <c r="AM41" s="39" t="b">
        <v>0</v>
      </c>
      <c r="AN41" s="39" t="b">
        <v>0</v>
      </c>
      <c r="AO41" s="39" t="b">
        <v>0</v>
      </c>
      <c r="AP41" s="39" t="b">
        <v>0</v>
      </c>
      <c r="AQ41" s="39" t="b">
        <v>0</v>
      </c>
      <c r="AR41" s="39" t="b">
        <v>0</v>
      </c>
      <c r="AS41" s="39" t="b">
        <v>0</v>
      </c>
      <c r="AT41" s="39" t="b">
        <v>0</v>
      </c>
      <c r="AU41" s="39" t="b">
        <v>0</v>
      </c>
      <c r="AV41" s="39" t="b">
        <v>0</v>
      </c>
      <c r="AW41" s="39" t="b">
        <v>0</v>
      </c>
      <c r="AX41" s="39" t="b">
        <v>0</v>
      </c>
      <c r="AY41" s="39" t="b">
        <v>0</v>
      </c>
      <c r="AZ41" s="39" t="b">
        <v>0</v>
      </c>
      <c r="BA41" s="39" t="b">
        <v>0</v>
      </c>
      <c r="BB41" s="39" t="b">
        <v>0</v>
      </c>
      <c r="BC41" s="39" t="b">
        <v>0</v>
      </c>
      <c r="BD41" s="39" t="b">
        <v>0</v>
      </c>
      <c r="BE41" s="39" t="b">
        <v>0</v>
      </c>
      <c r="BF41" s="39" t="b">
        <v>0</v>
      </c>
      <c r="BG41" s="39" t="b">
        <v>0</v>
      </c>
      <c r="BH41" s="39" t="b">
        <v>0</v>
      </c>
      <c r="BI41" s="39" t="b">
        <v>0</v>
      </c>
      <c r="BJ41" s="39" t="b">
        <v>0</v>
      </c>
      <c r="BK41" s="39" t="b">
        <v>0</v>
      </c>
      <c r="BL41" s="39" t="b">
        <v>0</v>
      </c>
      <c r="BM41" s="39" t="b">
        <v>0</v>
      </c>
      <c r="BN41" s="39" t="b">
        <v>0</v>
      </c>
      <c r="BO41" s="39" t="b">
        <v>0</v>
      </c>
      <c r="BP41" s="39" t="b">
        <v>0</v>
      </c>
      <c r="BQ41" s="39" t="b">
        <v>0</v>
      </c>
      <c r="BR41" s="39" t="b">
        <v>1</v>
      </c>
      <c r="BS41" s="39" t="b">
        <v>1</v>
      </c>
      <c r="BT41" s="40" t="b">
        <v>0</v>
      </c>
      <c r="BU41" s="40" t="b">
        <v>0</v>
      </c>
      <c r="BV41" s="40" t="b">
        <v>0</v>
      </c>
      <c r="BW41" s="40" t="b">
        <v>0</v>
      </c>
      <c r="BX41" s="19">
        <f t="shared" si="2"/>
        <v>31</v>
      </c>
      <c r="BY41" s="20">
        <f t="shared" si="3"/>
        <v>2</v>
      </c>
      <c r="BZ41" s="21">
        <f t="shared" si="4"/>
        <v>0.06451612903</v>
      </c>
      <c r="CA41" s="22" t="str">
        <f t="shared" si="5"/>
        <v>BAD IN NOV</v>
      </c>
      <c r="CB41" s="19">
        <f t="shared" si="6"/>
        <v>37</v>
      </c>
      <c r="CC41" s="20">
        <f t="shared" si="7"/>
        <v>2</v>
      </c>
      <c r="CD41" s="23">
        <f t="shared" si="8"/>
        <v>0.05405405405</v>
      </c>
      <c r="CE41" s="24" t="str">
        <f t="shared" si="9"/>
        <v>Bad in dec</v>
      </c>
      <c r="CF41" s="24" t="str">
        <f t="shared" si="10"/>
        <v>NOT CONNECT</v>
      </c>
    </row>
    <row r="42">
      <c r="A42" s="36" t="s">
        <v>93</v>
      </c>
      <c r="B42" s="37" t="s">
        <v>94</v>
      </c>
      <c r="C42" s="38">
        <v>9.076651533E9</v>
      </c>
      <c r="D42" s="36" t="s">
        <v>83</v>
      </c>
      <c r="E42" s="28">
        <f t="shared" si="11"/>
        <v>64</v>
      </c>
      <c r="F42" s="28">
        <f t="shared" si="12"/>
        <v>54</v>
      </c>
      <c r="G42" s="32">
        <f t="shared" si="13"/>
        <v>84</v>
      </c>
      <c r="H42" s="28">
        <f t="shared" si="14"/>
        <v>49</v>
      </c>
      <c r="I42" s="28">
        <f t="shared" si="15"/>
        <v>42</v>
      </c>
      <c r="J42" s="30">
        <f t="shared" si="16"/>
        <v>85.71428571</v>
      </c>
      <c r="K42" s="17"/>
      <c r="L42" s="39" t="b">
        <v>1</v>
      </c>
      <c r="M42" s="39" t="b">
        <v>1</v>
      </c>
      <c r="N42" s="39" t="b">
        <v>1</v>
      </c>
      <c r="O42" s="39" t="b">
        <v>0</v>
      </c>
      <c r="P42" s="39" t="b">
        <v>1</v>
      </c>
      <c r="Q42" s="39" t="b">
        <v>1</v>
      </c>
      <c r="R42" s="39" t="b">
        <v>1</v>
      </c>
      <c r="S42" s="39" t="b">
        <v>1</v>
      </c>
      <c r="T42" s="39" t="b">
        <v>1</v>
      </c>
      <c r="U42" s="39" t="b">
        <v>1</v>
      </c>
      <c r="V42" s="39" t="b">
        <v>1</v>
      </c>
      <c r="W42" s="39" t="b">
        <v>0</v>
      </c>
      <c r="X42" s="39" t="b">
        <v>0</v>
      </c>
      <c r="Y42" s="39" t="b">
        <v>0</v>
      </c>
      <c r="Z42" s="39" t="b">
        <v>1</v>
      </c>
      <c r="AA42" s="39" t="b">
        <v>1</v>
      </c>
      <c r="AB42" s="39" t="b">
        <v>1</v>
      </c>
      <c r="AC42" s="39" t="b">
        <v>1</v>
      </c>
      <c r="AD42" s="39" t="b">
        <v>1</v>
      </c>
      <c r="AE42" s="39" t="b">
        <v>1</v>
      </c>
      <c r="AF42" s="39" t="b">
        <v>1</v>
      </c>
      <c r="AG42" s="39" t="b">
        <v>1</v>
      </c>
      <c r="AH42" s="39" t="b">
        <v>1</v>
      </c>
      <c r="AI42" s="39" t="b">
        <v>1</v>
      </c>
      <c r="AJ42" s="39" t="b">
        <v>1</v>
      </c>
      <c r="AK42" s="39" t="b">
        <v>1</v>
      </c>
      <c r="AL42" s="39" t="b">
        <v>0</v>
      </c>
      <c r="AM42" s="39" t="b">
        <v>1</v>
      </c>
      <c r="AN42" s="39" t="b">
        <v>0</v>
      </c>
      <c r="AO42" s="39" t="b">
        <v>1</v>
      </c>
      <c r="AP42" s="39" t="b">
        <v>1</v>
      </c>
      <c r="AQ42" s="39" t="b">
        <v>1</v>
      </c>
      <c r="AR42" s="39" t="b">
        <v>1</v>
      </c>
      <c r="AS42" s="39" t="b">
        <v>1</v>
      </c>
      <c r="AT42" s="39" t="b">
        <v>1</v>
      </c>
      <c r="AU42" s="39" t="b">
        <v>1</v>
      </c>
      <c r="AV42" s="39" t="b">
        <v>1</v>
      </c>
      <c r="AW42" s="39" t="b">
        <v>0</v>
      </c>
      <c r="AX42" s="39" t="b">
        <v>0</v>
      </c>
      <c r="AY42" s="39" t="b">
        <v>1</v>
      </c>
      <c r="AZ42" s="39" t="b">
        <v>1</v>
      </c>
      <c r="BA42" s="39" t="b">
        <v>1</v>
      </c>
      <c r="BB42" s="39" t="b">
        <v>1</v>
      </c>
      <c r="BC42" s="39" t="b">
        <v>1</v>
      </c>
      <c r="BD42" s="39" t="b">
        <v>1</v>
      </c>
      <c r="BE42" s="39" t="b">
        <v>1</v>
      </c>
      <c r="BF42" s="39" t="b">
        <v>1</v>
      </c>
      <c r="BG42" s="39" t="b">
        <v>1</v>
      </c>
      <c r="BH42" s="39" t="b">
        <v>1</v>
      </c>
      <c r="BI42" s="39" t="b">
        <v>1</v>
      </c>
      <c r="BJ42" s="39" t="b">
        <v>1</v>
      </c>
      <c r="BK42" s="39" t="b">
        <v>1</v>
      </c>
      <c r="BL42" s="39" t="b">
        <v>1</v>
      </c>
      <c r="BM42" s="39" t="b">
        <v>1</v>
      </c>
      <c r="BN42" s="39" t="b">
        <v>1</v>
      </c>
      <c r="BO42" s="39" t="b">
        <v>1</v>
      </c>
      <c r="BP42" s="39" t="b">
        <v>1</v>
      </c>
      <c r="BQ42" s="39" t="b">
        <v>1</v>
      </c>
      <c r="BR42" s="39" t="b">
        <v>0</v>
      </c>
      <c r="BS42" s="39" t="b">
        <v>1</v>
      </c>
      <c r="BT42" s="40" t="b">
        <v>0</v>
      </c>
      <c r="BU42" s="40" t="b">
        <v>1</v>
      </c>
      <c r="BV42" s="40" t="b">
        <v>1</v>
      </c>
      <c r="BW42" s="40" t="b">
        <v>1</v>
      </c>
      <c r="BX42" s="19">
        <f t="shared" si="2"/>
        <v>31</v>
      </c>
      <c r="BY42" s="20">
        <f t="shared" si="3"/>
        <v>27</v>
      </c>
      <c r="BZ42" s="21">
        <f t="shared" si="4"/>
        <v>0.8709677419</v>
      </c>
      <c r="CA42" s="22" t="str">
        <f t="shared" si="5"/>
        <v>GOOD IN NOV</v>
      </c>
      <c r="CB42" s="19">
        <f t="shared" si="6"/>
        <v>37</v>
      </c>
      <c r="CC42" s="20">
        <f t="shared" si="7"/>
        <v>32</v>
      </c>
      <c r="CD42" s="23">
        <f t="shared" si="8"/>
        <v>0.8648648649</v>
      </c>
      <c r="CE42" s="24" t="str">
        <f t="shared" si="9"/>
        <v>Good in dec</v>
      </c>
      <c r="CF42" s="24" t="str">
        <f t="shared" si="10"/>
        <v>NOT CONNECT</v>
      </c>
    </row>
    <row r="43">
      <c r="A43" s="36" t="s">
        <v>95</v>
      </c>
      <c r="B43" s="37" t="s">
        <v>96</v>
      </c>
      <c r="C43" s="38">
        <v>9.170076346E9</v>
      </c>
      <c r="D43" s="36" t="s">
        <v>83</v>
      </c>
      <c r="E43" s="28">
        <f t="shared" si="11"/>
        <v>64</v>
      </c>
      <c r="F43" s="28">
        <f t="shared" si="12"/>
        <v>59</v>
      </c>
      <c r="G43" s="32">
        <f t="shared" si="13"/>
        <v>92</v>
      </c>
      <c r="H43" s="28">
        <f t="shared" si="14"/>
        <v>49</v>
      </c>
      <c r="I43" s="28">
        <f t="shared" si="15"/>
        <v>48</v>
      </c>
      <c r="J43" s="30">
        <f t="shared" si="16"/>
        <v>97.95918367</v>
      </c>
      <c r="K43" s="42"/>
      <c r="L43" s="43" t="b">
        <v>1</v>
      </c>
      <c r="M43" s="43" t="b">
        <v>1</v>
      </c>
      <c r="N43" s="43" t="b">
        <v>1</v>
      </c>
      <c r="O43" s="43" t="b">
        <v>1</v>
      </c>
      <c r="P43" s="43" t="b">
        <v>1</v>
      </c>
      <c r="Q43" s="43" t="b">
        <v>1</v>
      </c>
      <c r="R43" s="43" t="b">
        <v>0</v>
      </c>
      <c r="S43" s="43" t="b">
        <v>1</v>
      </c>
      <c r="T43" s="43" t="b">
        <v>1</v>
      </c>
      <c r="U43" s="43" t="b">
        <v>0</v>
      </c>
      <c r="V43" s="43" t="b">
        <v>1</v>
      </c>
      <c r="W43" s="43" t="b">
        <v>1</v>
      </c>
      <c r="X43" s="43" t="b">
        <v>0</v>
      </c>
      <c r="Y43" s="43" t="b">
        <v>1</v>
      </c>
      <c r="Z43" s="43" t="b">
        <v>1</v>
      </c>
      <c r="AA43" s="43" t="b">
        <v>1</v>
      </c>
      <c r="AB43" s="43" t="b">
        <v>1</v>
      </c>
      <c r="AC43" s="43" t="b">
        <v>1</v>
      </c>
      <c r="AD43" s="43" t="b">
        <v>1</v>
      </c>
      <c r="AE43" s="43" t="b">
        <v>1</v>
      </c>
      <c r="AF43" s="43" t="b">
        <v>1</v>
      </c>
      <c r="AG43" s="43" t="b">
        <v>1</v>
      </c>
      <c r="AH43" s="43" t="b">
        <v>1</v>
      </c>
      <c r="AI43" s="43" t="b">
        <v>1</v>
      </c>
      <c r="AJ43" s="43" t="b">
        <v>1</v>
      </c>
      <c r="AK43" s="43" t="b">
        <v>1</v>
      </c>
      <c r="AL43" s="43" t="b">
        <v>1</v>
      </c>
      <c r="AM43" s="43" t="b">
        <v>1</v>
      </c>
      <c r="AN43" s="43" t="b">
        <v>0</v>
      </c>
      <c r="AO43" s="43" t="b">
        <v>1</v>
      </c>
      <c r="AP43" s="43" t="b">
        <v>1</v>
      </c>
      <c r="AQ43" s="43" t="b">
        <v>1</v>
      </c>
      <c r="AR43" s="43" t="b">
        <v>1</v>
      </c>
      <c r="AS43" s="43" t="b">
        <v>1</v>
      </c>
      <c r="AT43" s="43" t="b">
        <v>1</v>
      </c>
      <c r="AU43" s="43" t="b">
        <v>1</v>
      </c>
      <c r="AV43" s="43" t="b">
        <v>1</v>
      </c>
      <c r="AW43" s="43" t="b">
        <v>1</v>
      </c>
      <c r="AX43" s="43" t="b">
        <v>1</v>
      </c>
      <c r="AY43" s="43" t="b">
        <v>1</v>
      </c>
      <c r="AZ43" s="43" t="b">
        <v>1</v>
      </c>
      <c r="BA43" s="43" t="b">
        <v>1</v>
      </c>
      <c r="BB43" s="43" t="b">
        <v>1</v>
      </c>
      <c r="BC43" s="43" t="b">
        <v>0</v>
      </c>
      <c r="BD43" s="43" t="b">
        <v>1</v>
      </c>
      <c r="BE43" s="43" t="b">
        <v>1</v>
      </c>
      <c r="BF43" s="43" t="b">
        <v>1</v>
      </c>
      <c r="BG43" s="43" t="b">
        <v>1</v>
      </c>
      <c r="BH43" s="43" t="b">
        <v>1</v>
      </c>
      <c r="BI43" s="43" t="b">
        <v>1</v>
      </c>
      <c r="BJ43" s="43" t="b">
        <v>1</v>
      </c>
      <c r="BK43" s="43" t="b">
        <v>1</v>
      </c>
      <c r="BL43" s="43" t="b">
        <v>1</v>
      </c>
      <c r="BM43" s="43" t="b">
        <v>1</v>
      </c>
      <c r="BN43" s="43" t="b">
        <v>1</v>
      </c>
      <c r="BO43" s="43" t="b">
        <v>1</v>
      </c>
      <c r="BP43" s="43" t="b">
        <v>1</v>
      </c>
      <c r="BQ43" s="43" t="b">
        <v>1</v>
      </c>
      <c r="BR43" s="43" t="b">
        <v>1</v>
      </c>
      <c r="BS43" s="43" t="b">
        <v>1</v>
      </c>
      <c r="BT43" s="40" t="b">
        <v>1</v>
      </c>
      <c r="BU43" s="40" t="b">
        <v>1</v>
      </c>
      <c r="BV43" s="40" t="b">
        <v>1</v>
      </c>
      <c r="BW43" s="40" t="b">
        <v>1</v>
      </c>
      <c r="BX43" s="19">
        <f t="shared" si="2"/>
        <v>31</v>
      </c>
      <c r="BY43" s="20">
        <f t="shared" si="3"/>
        <v>30</v>
      </c>
      <c r="BZ43" s="21">
        <f t="shared" si="4"/>
        <v>0.9677419355</v>
      </c>
      <c r="CA43" s="22" t="str">
        <f t="shared" si="5"/>
        <v>GOOD IN NOV</v>
      </c>
      <c r="CB43" s="19">
        <f t="shared" si="6"/>
        <v>37</v>
      </c>
      <c r="CC43" s="20">
        <f t="shared" si="7"/>
        <v>35</v>
      </c>
      <c r="CD43" s="23">
        <f t="shared" si="8"/>
        <v>0.9459459459</v>
      </c>
      <c r="CE43" s="24" t="str">
        <f t="shared" si="9"/>
        <v>Good in dec</v>
      </c>
      <c r="CF43" s="24" t="str">
        <f t="shared" si="10"/>
        <v>NOT CONNECT</v>
      </c>
    </row>
    <row r="44">
      <c r="A44" s="36" t="s">
        <v>97</v>
      </c>
      <c r="B44" s="37" t="s">
        <v>98</v>
      </c>
      <c r="C44" s="38">
        <v>8.090021601E9</v>
      </c>
      <c r="D44" s="36" t="s">
        <v>83</v>
      </c>
      <c r="E44" s="28">
        <f t="shared" si="11"/>
        <v>64</v>
      </c>
      <c r="F44" s="28">
        <f t="shared" si="12"/>
        <v>32</v>
      </c>
      <c r="G44" s="29">
        <f t="shared" si="13"/>
        <v>50</v>
      </c>
      <c r="H44" s="28">
        <f t="shared" si="14"/>
        <v>49</v>
      </c>
      <c r="I44" s="28">
        <f t="shared" si="15"/>
        <v>25</v>
      </c>
      <c r="J44" s="35">
        <f t="shared" si="16"/>
        <v>51.02040816</v>
      </c>
      <c r="K44" s="17"/>
      <c r="L44" s="39" t="b">
        <v>0</v>
      </c>
      <c r="M44" s="39" t="b">
        <v>1</v>
      </c>
      <c r="N44" s="39" t="b">
        <v>1</v>
      </c>
      <c r="O44" s="39" t="b">
        <v>0</v>
      </c>
      <c r="P44" s="39" t="b">
        <v>0</v>
      </c>
      <c r="Q44" s="39" t="b">
        <v>0</v>
      </c>
      <c r="R44" s="39" t="b">
        <v>0</v>
      </c>
      <c r="S44" s="39" t="b">
        <v>1</v>
      </c>
      <c r="T44" s="39" t="b">
        <v>0</v>
      </c>
      <c r="U44" s="39" t="b">
        <v>0</v>
      </c>
      <c r="V44" s="39" t="b">
        <v>0</v>
      </c>
      <c r="W44" s="39" t="b">
        <v>0</v>
      </c>
      <c r="X44" s="39" t="b">
        <v>0</v>
      </c>
      <c r="Y44" s="39" t="b">
        <v>0</v>
      </c>
      <c r="Z44" s="39" t="b">
        <v>1</v>
      </c>
      <c r="AA44" s="39" t="b">
        <v>1</v>
      </c>
      <c r="AB44" s="39" t="b">
        <v>1</v>
      </c>
      <c r="AC44" s="39" t="b">
        <v>0</v>
      </c>
      <c r="AD44" s="39" t="b">
        <v>1</v>
      </c>
      <c r="AE44" s="39" t="b">
        <v>1</v>
      </c>
      <c r="AF44" s="39" t="b">
        <v>1</v>
      </c>
      <c r="AG44" s="39" t="b">
        <v>0</v>
      </c>
      <c r="AH44" s="39" t="b">
        <v>1</v>
      </c>
      <c r="AI44" s="39" t="b">
        <v>1</v>
      </c>
      <c r="AJ44" s="39" t="b">
        <v>1</v>
      </c>
      <c r="AK44" s="39" t="b">
        <v>0</v>
      </c>
      <c r="AL44" s="39" t="b">
        <v>1</v>
      </c>
      <c r="AM44" s="39" t="b">
        <v>0</v>
      </c>
      <c r="AN44" s="39" t="b">
        <v>0</v>
      </c>
      <c r="AO44" s="39" t="b">
        <v>0</v>
      </c>
      <c r="AP44" s="39" t="b">
        <v>0</v>
      </c>
      <c r="AQ44" s="39" t="b">
        <v>0</v>
      </c>
      <c r="AR44" s="39" t="b">
        <v>1</v>
      </c>
      <c r="AS44" s="39" t="b">
        <v>1</v>
      </c>
      <c r="AT44" s="39" t="b">
        <v>1</v>
      </c>
      <c r="AU44" s="39" t="b">
        <v>1</v>
      </c>
      <c r="AV44" s="39" t="b">
        <v>0</v>
      </c>
      <c r="AW44" s="39" t="b">
        <v>0</v>
      </c>
      <c r="AX44" s="39" t="b">
        <v>0</v>
      </c>
      <c r="AY44" s="39" t="b">
        <v>1</v>
      </c>
      <c r="AZ44" s="39" t="b">
        <v>0</v>
      </c>
      <c r="BA44" s="39" t="b">
        <v>0</v>
      </c>
      <c r="BB44" s="39" t="b">
        <v>1</v>
      </c>
      <c r="BC44" s="39" t="b">
        <v>0</v>
      </c>
      <c r="BD44" s="39" t="b">
        <v>1</v>
      </c>
      <c r="BE44" s="39" t="b">
        <v>1</v>
      </c>
      <c r="BF44" s="39" t="b">
        <v>1</v>
      </c>
      <c r="BG44" s="39" t="b">
        <v>1</v>
      </c>
      <c r="BH44" s="39" t="b">
        <v>1</v>
      </c>
      <c r="BI44" s="39" t="b">
        <v>1</v>
      </c>
      <c r="BJ44" s="39" t="b">
        <v>1</v>
      </c>
      <c r="BK44" s="39" t="b">
        <v>1</v>
      </c>
      <c r="BL44" s="39" t="b">
        <v>1</v>
      </c>
      <c r="BM44" s="39" t="b">
        <v>1</v>
      </c>
      <c r="BN44" s="39" t="b">
        <v>0</v>
      </c>
      <c r="BO44" s="39" t="b">
        <v>0</v>
      </c>
      <c r="BP44" s="39" t="b">
        <v>1</v>
      </c>
      <c r="BQ44" s="39" t="b">
        <v>1</v>
      </c>
      <c r="BR44" s="39" t="b">
        <v>0</v>
      </c>
      <c r="BS44" s="39" t="b">
        <v>0</v>
      </c>
      <c r="BT44" s="40" t="b">
        <v>1</v>
      </c>
      <c r="BU44" s="40" t="b">
        <v>0</v>
      </c>
      <c r="BV44" s="40" t="b">
        <v>0</v>
      </c>
      <c r="BW44" s="40" t="b">
        <v>0</v>
      </c>
      <c r="BX44" s="19">
        <f t="shared" si="2"/>
        <v>31</v>
      </c>
      <c r="BY44" s="20">
        <f t="shared" si="3"/>
        <v>18</v>
      </c>
      <c r="BZ44" s="21">
        <f t="shared" si="4"/>
        <v>0.5806451613</v>
      </c>
      <c r="CA44" s="22" t="str">
        <f t="shared" si="5"/>
        <v>BAD IN NOV</v>
      </c>
      <c r="CB44" s="19">
        <f t="shared" si="6"/>
        <v>37</v>
      </c>
      <c r="CC44" s="20">
        <f t="shared" si="7"/>
        <v>19</v>
      </c>
      <c r="CD44" s="23">
        <f t="shared" si="8"/>
        <v>0.5135135135</v>
      </c>
      <c r="CE44" s="24" t="str">
        <f t="shared" si="9"/>
        <v>Good in dec</v>
      </c>
      <c r="CF44" s="24" t="str">
        <f t="shared" si="10"/>
        <v>NOT CONNECT</v>
      </c>
    </row>
    <row r="45">
      <c r="A45" s="36" t="s">
        <v>99</v>
      </c>
      <c r="B45" s="37" t="s">
        <v>100</v>
      </c>
      <c r="C45" s="38">
        <v>6.392155047E9</v>
      </c>
      <c r="D45" s="36" t="s">
        <v>83</v>
      </c>
      <c r="E45" s="28">
        <f t="shared" si="11"/>
        <v>64</v>
      </c>
      <c r="F45" s="28">
        <f t="shared" si="12"/>
        <v>50</v>
      </c>
      <c r="G45" s="32">
        <f t="shared" si="13"/>
        <v>78</v>
      </c>
      <c r="H45" s="28">
        <f t="shared" si="14"/>
        <v>49</v>
      </c>
      <c r="I45" s="28">
        <f t="shared" si="15"/>
        <v>41</v>
      </c>
      <c r="J45" s="30">
        <f t="shared" si="16"/>
        <v>83.67346939</v>
      </c>
      <c r="K45" s="17"/>
      <c r="L45" s="39" t="b">
        <v>1</v>
      </c>
      <c r="M45" s="39" t="b">
        <v>1</v>
      </c>
      <c r="N45" s="39" t="b">
        <v>0</v>
      </c>
      <c r="O45" s="39" t="b">
        <v>0</v>
      </c>
      <c r="P45" s="39" t="b">
        <v>1</v>
      </c>
      <c r="Q45" s="39" t="b">
        <v>1</v>
      </c>
      <c r="R45" s="39" t="b">
        <v>1</v>
      </c>
      <c r="S45" s="39" t="b">
        <v>1</v>
      </c>
      <c r="T45" s="39" t="b">
        <v>1</v>
      </c>
      <c r="U45" s="39" t="b">
        <v>1</v>
      </c>
      <c r="V45" s="39" t="b">
        <v>1</v>
      </c>
      <c r="W45" s="39" t="b">
        <v>1</v>
      </c>
      <c r="X45" s="39" t="b">
        <v>0</v>
      </c>
      <c r="Y45" s="39" t="b">
        <v>1</v>
      </c>
      <c r="Z45" s="39" t="b">
        <v>1</v>
      </c>
      <c r="AA45" s="39" t="b">
        <v>1</v>
      </c>
      <c r="AB45" s="39" t="b">
        <v>1</v>
      </c>
      <c r="AC45" s="39" t="b">
        <v>1</v>
      </c>
      <c r="AD45" s="39" t="b">
        <v>1</v>
      </c>
      <c r="AE45" s="39" t="b">
        <v>1</v>
      </c>
      <c r="AF45" s="39" t="b">
        <v>1</v>
      </c>
      <c r="AG45" s="39" t="b">
        <v>1</v>
      </c>
      <c r="AH45" s="39" t="b">
        <v>1</v>
      </c>
      <c r="AI45" s="39" t="b">
        <v>0</v>
      </c>
      <c r="AJ45" s="39" t="b">
        <v>1</v>
      </c>
      <c r="AK45" s="39" t="b">
        <v>1</v>
      </c>
      <c r="AL45" s="39" t="b">
        <v>1</v>
      </c>
      <c r="AM45" s="39" t="b">
        <v>1</v>
      </c>
      <c r="AN45" s="39" t="b">
        <v>0</v>
      </c>
      <c r="AO45" s="39" t="b">
        <v>1</v>
      </c>
      <c r="AP45" s="39" t="b">
        <v>1</v>
      </c>
      <c r="AQ45" s="39" t="b">
        <v>1</v>
      </c>
      <c r="AR45" s="39" t="b">
        <v>1</v>
      </c>
      <c r="AS45" s="39" t="b">
        <v>1</v>
      </c>
      <c r="AT45" s="39" t="b">
        <v>1</v>
      </c>
      <c r="AU45" s="39" t="b">
        <v>1</v>
      </c>
      <c r="AV45" s="39" t="b">
        <v>1</v>
      </c>
      <c r="AW45" s="39" t="b">
        <v>0</v>
      </c>
      <c r="AX45" s="39" t="b">
        <v>0</v>
      </c>
      <c r="AY45" s="39" t="b">
        <v>1</v>
      </c>
      <c r="AZ45" s="39" t="b">
        <v>1</v>
      </c>
      <c r="BA45" s="39" t="b">
        <v>1</v>
      </c>
      <c r="BB45" s="39" t="b">
        <v>1</v>
      </c>
      <c r="BC45" s="39" t="b">
        <v>0</v>
      </c>
      <c r="BD45" s="39" t="b">
        <v>1</v>
      </c>
      <c r="BE45" s="39" t="b">
        <v>0</v>
      </c>
      <c r="BF45" s="39" t="b">
        <v>0</v>
      </c>
      <c r="BG45" s="39" t="b">
        <v>0</v>
      </c>
      <c r="BH45" s="39" t="b">
        <v>1</v>
      </c>
      <c r="BI45" s="39" t="b">
        <v>1</v>
      </c>
      <c r="BJ45" s="39" t="b">
        <v>1</v>
      </c>
      <c r="BK45" s="39" t="b">
        <v>1</v>
      </c>
      <c r="BL45" s="39" t="b">
        <v>1</v>
      </c>
      <c r="BM45" s="39" t="b">
        <v>1</v>
      </c>
      <c r="BN45" s="39" t="b">
        <v>1</v>
      </c>
      <c r="BO45" s="39" t="b">
        <v>1</v>
      </c>
      <c r="BP45" s="39" t="b">
        <v>0</v>
      </c>
      <c r="BQ45" s="39" t="b">
        <v>1</v>
      </c>
      <c r="BR45" s="39" t="b">
        <v>1</v>
      </c>
      <c r="BS45" s="39" t="b">
        <v>1</v>
      </c>
      <c r="BT45" s="40" t="b">
        <v>1</v>
      </c>
      <c r="BU45" s="40" t="b">
        <v>1</v>
      </c>
      <c r="BV45" s="40" t="b">
        <v>0</v>
      </c>
      <c r="BW45" s="40" t="b">
        <v>0</v>
      </c>
      <c r="BX45" s="19">
        <f t="shared" si="2"/>
        <v>31</v>
      </c>
      <c r="BY45" s="20">
        <f t="shared" si="3"/>
        <v>22</v>
      </c>
      <c r="BZ45" s="21">
        <f t="shared" si="4"/>
        <v>0.7096774194</v>
      </c>
      <c r="CA45" s="22" t="str">
        <f t="shared" si="5"/>
        <v>GOOD IN NOV</v>
      </c>
      <c r="CB45" s="19">
        <f t="shared" si="6"/>
        <v>37</v>
      </c>
      <c r="CC45" s="20">
        <f t="shared" si="7"/>
        <v>27</v>
      </c>
      <c r="CD45" s="23">
        <f t="shared" si="8"/>
        <v>0.7297297297</v>
      </c>
      <c r="CE45" s="24" t="str">
        <f t="shared" si="9"/>
        <v>Good in dec</v>
      </c>
      <c r="CF45" s="24" t="str">
        <f t="shared" si="10"/>
        <v>NOT CONNECT</v>
      </c>
    </row>
    <row r="46">
      <c r="A46" s="36" t="s">
        <v>101</v>
      </c>
      <c r="B46" s="37" t="s">
        <v>102</v>
      </c>
      <c r="C46" s="38">
        <v>8.758980437E9</v>
      </c>
      <c r="D46" s="36" t="s">
        <v>83</v>
      </c>
      <c r="E46" s="28">
        <f t="shared" si="11"/>
        <v>64</v>
      </c>
      <c r="F46" s="28">
        <f t="shared" si="12"/>
        <v>36</v>
      </c>
      <c r="G46" s="29">
        <f t="shared" si="13"/>
        <v>56</v>
      </c>
      <c r="H46" s="28">
        <f t="shared" si="14"/>
        <v>49</v>
      </c>
      <c r="I46" s="28">
        <f t="shared" si="15"/>
        <v>31</v>
      </c>
      <c r="J46" s="35">
        <f t="shared" si="16"/>
        <v>63.26530612</v>
      </c>
      <c r="K46" s="17"/>
      <c r="L46" s="39" t="b">
        <v>1</v>
      </c>
      <c r="M46" s="39" t="b">
        <v>0</v>
      </c>
      <c r="N46" s="39" t="b">
        <v>0</v>
      </c>
      <c r="O46" s="39" t="b">
        <v>0</v>
      </c>
      <c r="P46" s="39" t="b">
        <v>1</v>
      </c>
      <c r="Q46" s="39" t="b">
        <v>0</v>
      </c>
      <c r="R46" s="39" t="b">
        <v>0</v>
      </c>
      <c r="S46" s="39" t="b">
        <v>0</v>
      </c>
      <c r="T46" s="39" t="b">
        <v>1</v>
      </c>
      <c r="U46" s="39" t="b">
        <v>1</v>
      </c>
      <c r="V46" s="39" t="b">
        <v>1</v>
      </c>
      <c r="W46" s="39" t="b">
        <v>1</v>
      </c>
      <c r="X46" s="39" t="b">
        <v>0</v>
      </c>
      <c r="Y46" s="39" t="b">
        <v>1</v>
      </c>
      <c r="Z46" s="39" t="b">
        <v>1</v>
      </c>
      <c r="AA46" s="39" t="b">
        <v>0</v>
      </c>
      <c r="AB46" s="39" t="b">
        <v>0</v>
      </c>
      <c r="AC46" s="39" t="b">
        <v>0</v>
      </c>
      <c r="AD46" s="39" t="b">
        <v>0</v>
      </c>
      <c r="AE46" s="39" t="b">
        <v>0</v>
      </c>
      <c r="AF46" s="39" t="b">
        <v>0</v>
      </c>
      <c r="AG46" s="39" t="b">
        <v>0</v>
      </c>
      <c r="AH46" s="39" t="b">
        <v>0</v>
      </c>
      <c r="AI46" s="39" t="b">
        <v>0</v>
      </c>
      <c r="AJ46" s="39" t="b">
        <v>0</v>
      </c>
      <c r="AK46" s="39" t="b">
        <v>0</v>
      </c>
      <c r="AL46" s="39" t="b">
        <v>1</v>
      </c>
      <c r="AM46" s="39" t="b">
        <v>1</v>
      </c>
      <c r="AN46" s="39" t="b">
        <v>0</v>
      </c>
      <c r="AO46" s="39" t="b">
        <v>1</v>
      </c>
      <c r="AP46" s="39" t="b">
        <v>1</v>
      </c>
      <c r="AQ46" s="39" t="b">
        <v>1</v>
      </c>
      <c r="AR46" s="39" t="b">
        <v>1</v>
      </c>
      <c r="AS46" s="39" t="b">
        <v>1</v>
      </c>
      <c r="AT46" s="39" t="b">
        <v>0</v>
      </c>
      <c r="AU46" s="39" t="b">
        <v>0</v>
      </c>
      <c r="AV46" s="39" t="b">
        <v>1</v>
      </c>
      <c r="AW46" s="39" t="b">
        <v>0</v>
      </c>
      <c r="AX46" s="39" t="b">
        <v>0</v>
      </c>
      <c r="AY46" s="39" t="b">
        <v>1</v>
      </c>
      <c r="AZ46" s="39" t="b">
        <v>0</v>
      </c>
      <c r="BA46" s="39" t="b">
        <v>0</v>
      </c>
      <c r="BB46" s="39" t="b">
        <v>1</v>
      </c>
      <c r="BC46" s="39" t="b">
        <v>0</v>
      </c>
      <c r="BD46" s="39" t="b">
        <v>1</v>
      </c>
      <c r="BE46" s="39" t="b">
        <v>1</v>
      </c>
      <c r="BF46" s="39" t="b">
        <v>1</v>
      </c>
      <c r="BG46" s="39" t="b">
        <v>1</v>
      </c>
      <c r="BH46" s="39" t="b">
        <v>1</v>
      </c>
      <c r="BI46" s="39" t="b">
        <v>1</v>
      </c>
      <c r="BJ46" s="39" t="b">
        <v>1</v>
      </c>
      <c r="BK46" s="39" t="b">
        <v>1</v>
      </c>
      <c r="BL46" s="39" t="b">
        <v>1</v>
      </c>
      <c r="BM46" s="39" t="b">
        <v>1</v>
      </c>
      <c r="BN46" s="39" t="b">
        <v>0</v>
      </c>
      <c r="BO46" s="39" t="b">
        <v>0</v>
      </c>
      <c r="BP46" s="39" t="b">
        <v>1</v>
      </c>
      <c r="BQ46" s="39" t="b">
        <v>1</v>
      </c>
      <c r="BR46" s="39" t="b">
        <v>1</v>
      </c>
      <c r="BS46" s="39" t="b">
        <v>1</v>
      </c>
      <c r="BT46" s="40" t="b">
        <v>1</v>
      </c>
      <c r="BU46" s="40" t="b">
        <v>1</v>
      </c>
      <c r="BV46" s="40" t="b">
        <v>1</v>
      </c>
      <c r="BW46" s="40" t="b">
        <v>1</v>
      </c>
      <c r="BX46" s="19">
        <f t="shared" si="2"/>
        <v>31</v>
      </c>
      <c r="BY46" s="20">
        <f t="shared" si="3"/>
        <v>22</v>
      </c>
      <c r="BZ46" s="21">
        <f t="shared" si="4"/>
        <v>0.7096774194</v>
      </c>
      <c r="CA46" s="22" t="str">
        <f t="shared" si="5"/>
        <v>GOOD IN NOV</v>
      </c>
      <c r="CB46" s="19">
        <f t="shared" si="6"/>
        <v>37</v>
      </c>
      <c r="CC46" s="20">
        <f t="shared" si="7"/>
        <v>27</v>
      </c>
      <c r="CD46" s="23">
        <f t="shared" si="8"/>
        <v>0.7297297297</v>
      </c>
      <c r="CE46" s="24" t="str">
        <f t="shared" si="9"/>
        <v>Good in dec</v>
      </c>
      <c r="CF46" s="24" t="str">
        <f t="shared" si="10"/>
        <v>NOT CONNECT</v>
      </c>
    </row>
    <row r="47">
      <c r="A47" s="36" t="s">
        <v>103</v>
      </c>
      <c r="B47" s="37" t="s">
        <v>104</v>
      </c>
      <c r="C47" s="38">
        <v>9.140706364E9</v>
      </c>
      <c r="D47" s="36" t="s">
        <v>83</v>
      </c>
      <c r="E47" s="28">
        <f t="shared" si="11"/>
        <v>64</v>
      </c>
      <c r="F47" s="28">
        <f t="shared" si="12"/>
        <v>18</v>
      </c>
      <c r="G47" s="29">
        <f t="shared" si="13"/>
        <v>28</v>
      </c>
      <c r="H47" s="28">
        <f t="shared" si="14"/>
        <v>49</v>
      </c>
      <c r="I47" s="28">
        <f t="shared" si="15"/>
        <v>16</v>
      </c>
      <c r="J47" s="35">
        <f t="shared" si="16"/>
        <v>32.65306122</v>
      </c>
      <c r="K47" s="42"/>
      <c r="L47" s="43" t="b">
        <v>0</v>
      </c>
      <c r="M47" s="43" t="b">
        <v>1</v>
      </c>
      <c r="N47" s="43" t="b">
        <v>0</v>
      </c>
      <c r="O47" s="43" t="b">
        <v>0</v>
      </c>
      <c r="P47" s="43" t="b">
        <v>0</v>
      </c>
      <c r="Q47" s="43" t="b">
        <v>0</v>
      </c>
      <c r="R47" s="43" t="b">
        <v>0</v>
      </c>
      <c r="S47" s="43" t="b">
        <v>0</v>
      </c>
      <c r="T47" s="43" t="b">
        <v>0</v>
      </c>
      <c r="U47" s="43" t="b">
        <v>0</v>
      </c>
      <c r="V47" s="43" t="b">
        <v>0</v>
      </c>
      <c r="W47" s="43" t="b">
        <v>0</v>
      </c>
      <c r="X47" s="43" t="b">
        <v>0</v>
      </c>
      <c r="Y47" s="43" t="b">
        <v>0</v>
      </c>
      <c r="Z47" s="43" t="b">
        <v>0</v>
      </c>
      <c r="AA47" s="43" t="b">
        <v>0</v>
      </c>
      <c r="AB47" s="43" t="b">
        <v>0</v>
      </c>
      <c r="AC47" s="43" t="b">
        <v>0</v>
      </c>
      <c r="AD47" s="43" t="b">
        <v>0</v>
      </c>
      <c r="AE47" s="43" t="b">
        <v>0</v>
      </c>
      <c r="AF47" s="43" t="b">
        <v>0</v>
      </c>
      <c r="AG47" s="43" t="b">
        <v>0</v>
      </c>
      <c r="AH47" s="43" t="b">
        <v>1</v>
      </c>
      <c r="AI47" s="43" t="b">
        <v>0</v>
      </c>
      <c r="AJ47" s="43" t="b">
        <v>0</v>
      </c>
      <c r="AK47" s="43" t="b">
        <v>0</v>
      </c>
      <c r="AL47" s="43" t="b">
        <v>1</v>
      </c>
      <c r="AM47" s="43" t="b">
        <v>0</v>
      </c>
      <c r="AN47" s="43" t="b">
        <v>0</v>
      </c>
      <c r="AO47" s="43" t="b">
        <v>0</v>
      </c>
      <c r="AP47" s="43" t="b">
        <v>0</v>
      </c>
      <c r="AQ47" s="43" t="b">
        <v>0</v>
      </c>
      <c r="AR47" s="43" t="b">
        <v>0</v>
      </c>
      <c r="AS47" s="43" t="b">
        <v>0</v>
      </c>
      <c r="AT47" s="43" t="b">
        <v>0</v>
      </c>
      <c r="AU47" s="43" t="b">
        <v>0</v>
      </c>
      <c r="AV47" s="43" t="b">
        <v>0</v>
      </c>
      <c r="AW47" s="43" t="b">
        <v>0</v>
      </c>
      <c r="AX47" s="43" t="b">
        <v>0</v>
      </c>
      <c r="AY47" s="43" t="b">
        <v>1</v>
      </c>
      <c r="AZ47" s="43" t="b">
        <v>0</v>
      </c>
      <c r="BA47" s="43" t="b">
        <v>0</v>
      </c>
      <c r="BB47" s="43" t="b">
        <v>0</v>
      </c>
      <c r="BC47" s="43" t="b">
        <v>0</v>
      </c>
      <c r="BD47" s="43" t="b">
        <v>0</v>
      </c>
      <c r="BE47" s="43" t="b">
        <v>1</v>
      </c>
      <c r="BF47" s="43" t="b">
        <v>0</v>
      </c>
      <c r="BG47" s="43" t="b">
        <v>0</v>
      </c>
      <c r="BH47" s="43" t="b">
        <v>1</v>
      </c>
      <c r="BI47" s="43" t="b">
        <v>1</v>
      </c>
      <c r="BJ47" s="43" t="b">
        <v>1</v>
      </c>
      <c r="BK47" s="43" t="b">
        <v>1</v>
      </c>
      <c r="BL47" s="43" t="b">
        <v>1</v>
      </c>
      <c r="BM47" s="43" t="b">
        <v>1</v>
      </c>
      <c r="BN47" s="43" t="b">
        <v>1</v>
      </c>
      <c r="BO47" s="43" t="b">
        <v>1</v>
      </c>
      <c r="BP47" s="43" t="b">
        <v>0</v>
      </c>
      <c r="BQ47" s="43" t="b">
        <v>0</v>
      </c>
      <c r="BR47" s="43" t="b">
        <v>1</v>
      </c>
      <c r="BS47" s="43" t="b">
        <v>1</v>
      </c>
      <c r="BT47" s="40" t="b">
        <v>0</v>
      </c>
      <c r="BU47" s="40" t="b">
        <v>1</v>
      </c>
      <c r="BV47" s="40" t="b">
        <v>1</v>
      </c>
      <c r="BW47" s="40" t="b">
        <v>1</v>
      </c>
      <c r="BX47" s="19">
        <f t="shared" si="2"/>
        <v>31</v>
      </c>
      <c r="BY47" s="20">
        <f t="shared" si="3"/>
        <v>15</v>
      </c>
      <c r="BZ47" s="21">
        <f t="shared" si="4"/>
        <v>0.4838709677</v>
      </c>
      <c r="CA47" s="22" t="str">
        <f t="shared" si="5"/>
        <v>BAD IN NOV</v>
      </c>
      <c r="CB47" s="19">
        <f t="shared" si="6"/>
        <v>37</v>
      </c>
      <c r="CC47" s="20">
        <f t="shared" si="7"/>
        <v>15</v>
      </c>
      <c r="CD47" s="23">
        <f t="shared" si="8"/>
        <v>0.4054054054</v>
      </c>
      <c r="CE47" s="24" t="str">
        <f t="shared" si="9"/>
        <v>Good in dec</v>
      </c>
      <c r="CF47" s="24" t="str">
        <f t="shared" si="10"/>
        <v>NOT CONNECT</v>
      </c>
    </row>
    <row r="48">
      <c r="A48" s="36" t="s">
        <v>105</v>
      </c>
      <c r="B48" s="37" t="s">
        <v>106</v>
      </c>
      <c r="C48" s="38">
        <v>8.707515961E9</v>
      </c>
      <c r="D48" s="36" t="s">
        <v>83</v>
      </c>
      <c r="E48" s="28">
        <f t="shared" si="11"/>
        <v>64</v>
      </c>
      <c r="F48" s="28">
        <f t="shared" si="12"/>
        <v>42</v>
      </c>
      <c r="G48" s="29">
        <f t="shared" si="13"/>
        <v>66</v>
      </c>
      <c r="H48" s="28">
        <f t="shared" si="14"/>
        <v>49</v>
      </c>
      <c r="I48" s="28">
        <f t="shared" si="15"/>
        <v>36</v>
      </c>
      <c r="J48" s="30">
        <f t="shared" si="16"/>
        <v>73.46938776</v>
      </c>
      <c r="K48" s="17"/>
      <c r="L48" s="39" t="b">
        <v>1</v>
      </c>
      <c r="M48" s="39" t="b">
        <v>1</v>
      </c>
      <c r="N48" s="39" t="b">
        <v>1</v>
      </c>
      <c r="O48" s="39" t="b">
        <v>1</v>
      </c>
      <c r="P48" s="39" t="b">
        <v>0</v>
      </c>
      <c r="Q48" s="39" t="b">
        <v>0</v>
      </c>
      <c r="R48" s="39" t="b">
        <v>0</v>
      </c>
      <c r="S48" s="39" t="b">
        <v>1</v>
      </c>
      <c r="T48" s="39" t="b">
        <v>1</v>
      </c>
      <c r="U48" s="39" t="b">
        <v>0</v>
      </c>
      <c r="V48" s="39" t="b">
        <v>1</v>
      </c>
      <c r="W48" s="39" t="b">
        <v>1</v>
      </c>
      <c r="X48" s="39" t="b">
        <v>0</v>
      </c>
      <c r="Y48" s="39" t="b">
        <v>1</v>
      </c>
      <c r="Z48" s="39" t="b">
        <v>1</v>
      </c>
      <c r="AA48" s="39" t="b">
        <v>1</v>
      </c>
      <c r="AB48" s="39" t="b">
        <v>1</v>
      </c>
      <c r="AC48" s="39" t="b">
        <v>1</v>
      </c>
      <c r="AD48" s="39" t="b">
        <v>1</v>
      </c>
      <c r="AE48" s="39" t="b">
        <v>1</v>
      </c>
      <c r="AF48" s="39" t="b">
        <v>0</v>
      </c>
      <c r="AG48" s="39" t="b">
        <v>0</v>
      </c>
      <c r="AH48" s="39" t="b">
        <v>0</v>
      </c>
      <c r="AI48" s="39" t="b">
        <v>1</v>
      </c>
      <c r="AJ48" s="39" t="b">
        <v>1</v>
      </c>
      <c r="AK48" s="39" t="b">
        <v>1</v>
      </c>
      <c r="AL48" s="39" t="b">
        <v>1</v>
      </c>
      <c r="AM48" s="39" t="b">
        <v>1</v>
      </c>
      <c r="AN48" s="39" t="b">
        <v>0</v>
      </c>
      <c r="AO48" s="39" t="b">
        <v>1</v>
      </c>
      <c r="AP48" s="39" t="b">
        <v>1</v>
      </c>
      <c r="AQ48" s="39" t="b">
        <v>1</v>
      </c>
      <c r="AR48" s="39" t="b">
        <v>1</v>
      </c>
      <c r="AS48" s="39" t="b">
        <v>0</v>
      </c>
      <c r="AT48" s="39" t="b">
        <v>0</v>
      </c>
      <c r="AU48" s="39" t="b">
        <v>1</v>
      </c>
      <c r="AV48" s="39" t="b">
        <v>1</v>
      </c>
      <c r="AW48" s="39" t="b">
        <v>0</v>
      </c>
      <c r="AX48" s="39" t="b">
        <v>1</v>
      </c>
      <c r="AY48" s="39" t="b">
        <v>1</v>
      </c>
      <c r="AZ48" s="39" t="b">
        <v>1</v>
      </c>
      <c r="BA48" s="39" t="b">
        <v>1</v>
      </c>
      <c r="BB48" s="39" t="b">
        <v>1</v>
      </c>
      <c r="BC48" s="39" t="b">
        <v>1</v>
      </c>
      <c r="BD48" s="39" t="b">
        <v>1</v>
      </c>
      <c r="BE48" s="39" t="b">
        <v>1</v>
      </c>
      <c r="BF48" s="39" t="b">
        <v>0</v>
      </c>
      <c r="BG48" s="39" t="b">
        <v>1</v>
      </c>
      <c r="BH48" s="39" t="b">
        <v>0</v>
      </c>
      <c r="BI48" s="39" t="b">
        <v>0</v>
      </c>
      <c r="BJ48" s="39" t="b">
        <v>0</v>
      </c>
      <c r="BK48" s="39" t="b">
        <v>0</v>
      </c>
      <c r="BL48" s="39" t="b">
        <v>0</v>
      </c>
      <c r="BM48" s="39" t="b">
        <v>0</v>
      </c>
      <c r="BN48" s="39" t="b">
        <v>0</v>
      </c>
      <c r="BO48" s="39" t="b">
        <v>0</v>
      </c>
      <c r="BP48" s="39" t="b">
        <v>1</v>
      </c>
      <c r="BQ48" s="39" t="b">
        <v>0</v>
      </c>
      <c r="BR48" s="39" t="b">
        <v>1</v>
      </c>
      <c r="BS48" s="39" t="b">
        <v>1</v>
      </c>
      <c r="BT48" s="40" t="b">
        <v>1</v>
      </c>
      <c r="BU48" s="40" t="b">
        <v>1</v>
      </c>
      <c r="BV48" s="40" t="b">
        <v>1</v>
      </c>
      <c r="BW48" s="40" t="b">
        <v>1</v>
      </c>
      <c r="BX48" s="19">
        <f t="shared" si="2"/>
        <v>31</v>
      </c>
      <c r="BY48" s="20">
        <f t="shared" si="3"/>
        <v>18</v>
      </c>
      <c r="BZ48" s="21">
        <f t="shared" si="4"/>
        <v>0.5806451613</v>
      </c>
      <c r="CA48" s="22" t="str">
        <f t="shared" si="5"/>
        <v>BAD IN NOV</v>
      </c>
      <c r="CB48" s="19">
        <f t="shared" si="6"/>
        <v>37</v>
      </c>
      <c r="CC48" s="20">
        <f t="shared" si="7"/>
        <v>23</v>
      </c>
      <c r="CD48" s="23">
        <f t="shared" si="8"/>
        <v>0.6216216216</v>
      </c>
      <c r="CE48" s="24" t="str">
        <f t="shared" si="9"/>
        <v>Good in dec</v>
      </c>
      <c r="CF48" s="24" t="str">
        <f t="shared" si="10"/>
        <v>NOT CONNECT</v>
      </c>
    </row>
    <row r="49">
      <c r="A49" s="36" t="s">
        <v>107</v>
      </c>
      <c r="B49" s="37" t="s">
        <v>108</v>
      </c>
      <c r="C49" s="38">
        <v>6.3908715E9</v>
      </c>
      <c r="D49" s="36" t="s">
        <v>83</v>
      </c>
      <c r="E49" s="28">
        <f t="shared" si="11"/>
        <v>64</v>
      </c>
      <c r="F49" s="28">
        <f t="shared" si="12"/>
        <v>34</v>
      </c>
      <c r="G49" s="29">
        <f t="shared" si="13"/>
        <v>53</v>
      </c>
      <c r="H49" s="28">
        <f t="shared" si="14"/>
        <v>49</v>
      </c>
      <c r="I49" s="28">
        <f t="shared" si="15"/>
        <v>29</v>
      </c>
      <c r="J49" s="35">
        <f t="shared" si="16"/>
        <v>59.18367347</v>
      </c>
      <c r="K49" s="17"/>
      <c r="L49" s="39" t="b">
        <v>0</v>
      </c>
      <c r="M49" s="39" t="b">
        <v>0</v>
      </c>
      <c r="N49" s="39" t="b">
        <v>0</v>
      </c>
      <c r="O49" s="39" t="b">
        <v>0</v>
      </c>
      <c r="P49" s="39" t="b">
        <v>0</v>
      </c>
      <c r="Q49" s="39" t="b">
        <v>0</v>
      </c>
      <c r="R49" s="39" t="b">
        <v>0</v>
      </c>
      <c r="S49" s="39" t="b">
        <v>1</v>
      </c>
      <c r="T49" s="39" t="b">
        <v>0</v>
      </c>
      <c r="U49" s="39" t="b">
        <v>0</v>
      </c>
      <c r="V49" s="39" t="b">
        <v>0</v>
      </c>
      <c r="W49" s="39" t="b">
        <v>0</v>
      </c>
      <c r="X49" s="39" t="b">
        <v>0</v>
      </c>
      <c r="Y49" s="39" t="b">
        <v>0</v>
      </c>
      <c r="Z49" s="39" t="b">
        <v>0</v>
      </c>
      <c r="AA49" s="39" t="b">
        <v>0</v>
      </c>
      <c r="AB49" s="39" t="b">
        <v>0</v>
      </c>
      <c r="AC49" s="39" t="b">
        <v>0</v>
      </c>
      <c r="AD49" s="39" t="b">
        <v>1</v>
      </c>
      <c r="AE49" s="39" t="b">
        <v>1</v>
      </c>
      <c r="AF49" s="39" t="b">
        <v>0</v>
      </c>
      <c r="AG49" s="39" t="b">
        <v>0</v>
      </c>
      <c r="AH49" s="39" t="b">
        <v>1</v>
      </c>
      <c r="AI49" s="39" t="b">
        <v>1</v>
      </c>
      <c r="AJ49" s="39" t="b">
        <v>1</v>
      </c>
      <c r="AK49" s="39" t="b">
        <v>1</v>
      </c>
      <c r="AL49" s="39" t="b">
        <v>1</v>
      </c>
      <c r="AM49" s="39" t="b">
        <v>1</v>
      </c>
      <c r="AN49" s="39" t="b">
        <v>0</v>
      </c>
      <c r="AO49" s="39" t="b">
        <v>1</v>
      </c>
      <c r="AP49" s="39" t="b">
        <v>1</v>
      </c>
      <c r="AQ49" s="39" t="b">
        <v>0</v>
      </c>
      <c r="AR49" s="39" t="b">
        <v>0</v>
      </c>
      <c r="AS49" s="39" t="b">
        <v>1</v>
      </c>
      <c r="AT49" s="39" t="b">
        <v>0</v>
      </c>
      <c r="AU49" s="39" t="b">
        <v>1</v>
      </c>
      <c r="AV49" s="39" t="b">
        <v>1</v>
      </c>
      <c r="AW49" s="39" t="b">
        <v>0</v>
      </c>
      <c r="AX49" s="39" t="b">
        <v>0</v>
      </c>
      <c r="AY49" s="39" t="b">
        <v>1</v>
      </c>
      <c r="AZ49" s="39" t="b">
        <v>1</v>
      </c>
      <c r="BA49" s="39" t="b">
        <v>1</v>
      </c>
      <c r="BB49" s="39" t="b">
        <v>1</v>
      </c>
      <c r="BC49" s="39" t="b">
        <v>0</v>
      </c>
      <c r="BD49" s="39" t="b">
        <v>1</v>
      </c>
      <c r="BE49" s="39" t="b">
        <v>1</v>
      </c>
      <c r="BF49" s="39" t="b">
        <v>1</v>
      </c>
      <c r="BG49" s="39" t="b">
        <v>1</v>
      </c>
      <c r="BH49" s="39" t="b">
        <v>0</v>
      </c>
      <c r="BI49" s="39" t="b">
        <v>0</v>
      </c>
      <c r="BJ49" s="39" t="b">
        <v>0</v>
      </c>
      <c r="BK49" s="39" t="b">
        <v>0</v>
      </c>
      <c r="BL49" s="39" t="b">
        <v>1</v>
      </c>
      <c r="BM49" s="39" t="b">
        <v>1</v>
      </c>
      <c r="BN49" s="39" t="b">
        <v>1</v>
      </c>
      <c r="BO49" s="39" t="b">
        <v>1</v>
      </c>
      <c r="BP49" s="39" t="b">
        <v>1</v>
      </c>
      <c r="BQ49" s="39" t="b">
        <v>1</v>
      </c>
      <c r="BR49" s="39" t="b">
        <v>1</v>
      </c>
      <c r="BS49" s="39" t="b">
        <v>1</v>
      </c>
      <c r="BT49" s="40" t="b">
        <v>1</v>
      </c>
      <c r="BU49" s="40" t="b">
        <v>1</v>
      </c>
      <c r="BV49" s="40" t="b">
        <v>1</v>
      </c>
      <c r="BW49" s="40" t="b">
        <v>1</v>
      </c>
      <c r="BX49" s="19">
        <f t="shared" si="2"/>
        <v>31</v>
      </c>
      <c r="BY49" s="20">
        <f t="shared" si="3"/>
        <v>23</v>
      </c>
      <c r="BZ49" s="21">
        <f t="shared" si="4"/>
        <v>0.7419354839</v>
      </c>
      <c r="CA49" s="22" t="str">
        <f t="shared" si="5"/>
        <v>GOOD IN NOV</v>
      </c>
      <c r="CB49" s="19">
        <f t="shared" si="6"/>
        <v>37</v>
      </c>
      <c r="CC49" s="20">
        <f t="shared" si="7"/>
        <v>26</v>
      </c>
      <c r="CD49" s="23">
        <f t="shared" si="8"/>
        <v>0.7027027027</v>
      </c>
      <c r="CE49" s="24" t="str">
        <f t="shared" si="9"/>
        <v>Good in dec</v>
      </c>
      <c r="CF49" s="24" t="str">
        <f t="shared" si="10"/>
        <v>NOT CONNECT</v>
      </c>
    </row>
    <row r="50">
      <c r="A50" s="36" t="s">
        <v>109</v>
      </c>
      <c r="B50" s="37" t="s">
        <v>110</v>
      </c>
      <c r="C50" s="38">
        <v>7.355993352E9</v>
      </c>
      <c r="D50" s="36" t="s">
        <v>83</v>
      </c>
      <c r="E50" s="28">
        <f t="shared" si="11"/>
        <v>64</v>
      </c>
      <c r="F50" s="28">
        <f t="shared" si="12"/>
        <v>20</v>
      </c>
      <c r="G50" s="29">
        <f t="shared" si="13"/>
        <v>31</v>
      </c>
      <c r="H50" s="28">
        <f t="shared" si="14"/>
        <v>49</v>
      </c>
      <c r="I50" s="28">
        <f t="shared" si="15"/>
        <v>17</v>
      </c>
      <c r="J50" s="35">
        <f t="shared" si="16"/>
        <v>34.69387755</v>
      </c>
      <c r="K50" s="42"/>
      <c r="L50" s="43" t="b">
        <v>0</v>
      </c>
      <c r="M50" s="43" t="b">
        <v>0</v>
      </c>
      <c r="N50" s="43" t="b">
        <v>1</v>
      </c>
      <c r="O50" s="43" t="b">
        <v>0</v>
      </c>
      <c r="P50" s="43" t="b">
        <v>0</v>
      </c>
      <c r="Q50" s="43" t="b">
        <v>0</v>
      </c>
      <c r="R50" s="43" t="b">
        <v>0</v>
      </c>
      <c r="S50" s="43" t="b">
        <v>0</v>
      </c>
      <c r="T50" s="43" t="b">
        <v>0</v>
      </c>
      <c r="U50" s="43" t="b">
        <v>0</v>
      </c>
      <c r="V50" s="43" t="b">
        <v>0</v>
      </c>
      <c r="W50" s="43" t="b">
        <v>0</v>
      </c>
      <c r="X50" s="43" t="b">
        <v>0</v>
      </c>
      <c r="Y50" s="43" t="b">
        <v>0</v>
      </c>
      <c r="Z50" s="43" t="b">
        <v>0</v>
      </c>
      <c r="AA50" s="43" t="b">
        <v>0</v>
      </c>
      <c r="AB50" s="43" t="b">
        <v>0</v>
      </c>
      <c r="AC50" s="43" t="b">
        <v>0</v>
      </c>
      <c r="AD50" s="43" t="b">
        <v>0</v>
      </c>
      <c r="AE50" s="43" t="b">
        <v>0</v>
      </c>
      <c r="AF50" s="43" t="b">
        <v>0</v>
      </c>
      <c r="AG50" s="43" t="b">
        <v>0</v>
      </c>
      <c r="AH50" s="43" t="b">
        <v>0</v>
      </c>
      <c r="AI50" s="43" t="b">
        <v>0</v>
      </c>
      <c r="AJ50" s="43" t="b">
        <v>0</v>
      </c>
      <c r="AK50" s="43" t="b">
        <v>0</v>
      </c>
      <c r="AL50" s="43" t="b">
        <v>0</v>
      </c>
      <c r="AM50" s="43" t="b">
        <v>0</v>
      </c>
      <c r="AN50" s="43" t="b">
        <v>0</v>
      </c>
      <c r="AO50" s="43" t="b">
        <v>0</v>
      </c>
      <c r="AP50" s="43" t="b">
        <v>1</v>
      </c>
      <c r="AQ50" s="43" t="b">
        <v>1</v>
      </c>
      <c r="AR50" s="43" t="b">
        <v>1</v>
      </c>
      <c r="AS50" s="43" t="b">
        <v>1</v>
      </c>
      <c r="AT50" s="43" t="b">
        <v>1</v>
      </c>
      <c r="AU50" s="43" t="b">
        <v>1</v>
      </c>
      <c r="AV50" s="43" t="b">
        <v>0</v>
      </c>
      <c r="AW50" s="43" t="b">
        <v>0</v>
      </c>
      <c r="AX50" s="43" t="b">
        <v>0</v>
      </c>
      <c r="AY50" s="43" t="b">
        <v>0</v>
      </c>
      <c r="AZ50" s="43" t="b">
        <v>0</v>
      </c>
      <c r="BA50" s="43" t="b">
        <v>0</v>
      </c>
      <c r="BB50" s="43" t="b">
        <v>0</v>
      </c>
      <c r="BC50" s="43" t="b">
        <v>0</v>
      </c>
      <c r="BD50" s="43" t="b">
        <v>0</v>
      </c>
      <c r="BE50" s="43" t="b">
        <v>1</v>
      </c>
      <c r="BF50" s="43" t="b">
        <v>0</v>
      </c>
      <c r="BG50" s="43" t="b">
        <v>1</v>
      </c>
      <c r="BH50" s="43" t="b">
        <v>1</v>
      </c>
      <c r="BI50" s="43" t="b">
        <v>0</v>
      </c>
      <c r="BJ50" s="43" t="b">
        <v>1</v>
      </c>
      <c r="BK50" s="43" t="b">
        <v>0</v>
      </c>
      <c r="BL50" s="43" t="b">
        <v>1</v>
      </c>
      <c r="BM50" s="43" t="b">
        <v>1</v>
      </c>
      <c r="BN50" s="43" t="b">
        <v>0</v>
      </c>
      <c r="BO50" s="43" t="b">
        <v>1</v>
      </c>
      <c r="BP50" s="43" t="b">
        <v>0</v>
      </c>
      <c r="BQ50" s="43" t="b">
        <v>1</v>
      </c>
      <c r="BR50" s="43" t="b">
        <v>1</v>
      </c>
      <c r="BS50" s="43" t="b">
        <v>1</v>
      </c>
      <c r="BT50" s="40" t="b">
        <v>0</v>
      </c>
      <c r="BU50" s="40" t="b">
        <v>1</v>
      </c>
      <c r="BV50" s="40" t="b">
        <v>1</v>
      </c>
      <c r="BW50" s="40" t="b">
        <v>1</v>
      </c>
      <c r="BX50" s="19">
        <f t="shared" si="2"/>
        <v>31</v>
      </c>
      <c r="BY50" s="20">
        <f t="shared" si="3"/>
        <v>16</v>
      </c>
      <c r="BZ50" s="21">
        <f t="shared" si="4"/>
        <v>0.5161290323</v>
      </c>
      <c r="CA50" s="22" t="str">
        <f t="shared" si="5"/>
        <v>BAD IN NOV</v>
      </c>
      <c r="CB50" s="19">
        <f t="shared" si="6"/>
        <v>37</v>
      </c>
      <c r="CC50" s="20">
        <f t="shared" si="7"/>
        <v>19</v>
      </c>
      <c r="CD50" s="23">
        <f t="shared" si="8"/>
        <v>0.5135135135</v>
      </c>
      <c r="CE50" s="24" t="str">
        <f t="shared" si="9"/>
        <v>Good in dec</v>
      </c>
      <c r="CF50" s="24" t="str">
        <f t="shared" si="10"/>
        <v>NOT CONNECT</v>
      </c>
    </row>
    <row r="51">
      <c r="A51" s="36" t="s">
        <v>111</v>
      </c>
      <c r="B51" s="37" t="s">
        <v>112</v>
      </c>
      <c r="C51" s="38">
        <v>8.960088091E9</v>
      </c>
      <c r="D51" s="36" t="s">
        <v>83</v>
      </c>
      <c r="E51" s="28">
        <f t="shared" si="11"/>
        <v>64</v>
      </c>
      <c r="F51" s="28">
        <f t="shared" si="12"/>
        <v>29</v>
      </c>
      <c r="G51" s="29">
        <f t="shared" si="13"/>
        <v>45</v>
      </c>
      <c r="H51" s="28">
        <f t="shared" si="14"/>
        <v>49</v>
      </c>
      <c r="I51" s="28">
        <f t="shared" si="15"/>
        <v>26</v>
      </c>
      <c r="J51" s="35">
        <f t="shared" si="16"/>
        <v>53.06122449</v>
      </c>
      <c r="K51" s="17"/>
      <c r="L51" s="39" t="b">
        <v>0</v>
      </c>
      <c r="M51" s="39" t="b">
        <v>1</v>
      </c>
      <c r="N51" s="39" t="b">
        <v>1</v>
      </c>
      <c r="O51" s="39" t="b">
        <v>0</v>
      </c>
      <c r="P51" s="39" t="b">
        <v>1</v>
      </c>
      <c r="Q51" s="39" t="b">
        <v>1</v>
      </c>
      <c r="R51" s="39" t="b">
        <v>1</v>
      </c>
      <c r="S51" s="39" t="b">
        <v>1</v>
      </c>
      <c r="T51" s="39" t="b">
        <v>1</v>
      </c>
      <c r="U51" s="39" t="b">
        <v>0</v>
      </c>
      <c r="V51" s="39" t="b">
        <v>1</v>
      </c>
      <c r="W51" s="39" t="b">
        <v>1</v>
      </c>
      <c r="X51" s="39" t="b">
        <v>0</v>
      </c>
      <c r="Y51" s="39" t="b">
        <v>1</v>
      </c>
      <c r="Z51" s="39" t="b">
        <v>0</v>
      </c>
      <c r="AA51" s="39" t="b">
        <v>0</v>
      </c>
      <c r="AB51" s="39" t="b">
        <v>0</v>
      </c>
      <c r="AC51" s="39" t="b">
        <v>1</v>
      </c>
      <c r="AD51" s="39" t="b">
        <v>0</v>
      </c>
      <c r="AE51" s="39" t="b">
        <v>0</v>
      </c>
      <c r="AF51" s="39" t="b">
        <v>1</v>
      </c>
      <c r="AG51" s="39" t="b">
        <v>0</v>
      </c>
      <c r="AH51" s="39" t="b">
        <v>1</v>
      </c>
      <c r="AI51" s="39" t="b">
        <v>0</v>
      </c>
      <c r="AJ51" s="39" t="b">
        <v>0</v>
      </c>
      <c r="AK51" s="39" t="b">
        <v>0</v>
      </c>
      <c r="AL51" s="39" t="b">
        <v>1</v>
      </c>
      <c r="AM51" s="39" t="b">
        <v>0</v>
      </c>
      <c r="AN51" s="39" t="b">
        <v>0</v>
      </c>
      <c r="AO51" s="39" t="b">
        <v>0</v>
      </c>
      <c r="AP51" s="39" t="b">
        <v>0</v>
      </c>
      <c r="AQ51" s="39" t="b">
        <v>0</v>
      </c>
      <c r="AR51" s="39" t="b">
        <v>0</v>
      </c>
      <c r="AS51" s="39" t="b">
        <v>0</v>
      </c>
      <c r="AT51" s="39" t="b">
        <v>0</v>
      </c>
      <c r="AU51" s="39" t="b">
        <v>0</v>
      </c>
      <c r="AV51" s="39" t="b">
        <v>0</v>
      </c>
      <c r="AW51" s="39" t="b">
        <v>0</v>
      </c>
      <c r="AX51" s="39" t="b">
        <v>1</v>
      </c>
      <c r="AY51" s="39" t="b">
        <v>1</v>
      </c>
      <c r="AZ51" s="39" t="b">
        <v>0</v>
      </c>
      <c r="BA51" s="39" t="b">
        <v>1</v>
      </c>
      <c r="BB51" s="39" t="b">
        <v>0</v>
      </c>
      <c r="BC51" s="39" t="b">
        <v>0</v>
      </c>
      <c r="BD51" s="39" t="b">
        <v>1</v>
      </c>
      <c r="BE51" s="39" t="b">
        <v>0</v>
      </c>
      <c r="BF51" s="39" t="b">
        <v>1</v>
      </c>
      <c r="BG51" s="39" t="b">
        <v>1</v>
      </c>
      <c r="BH51" s="39" t="b">
        <v>0</v>
      </c>
      <c r="BI51" s="39" t="b">
        <v>1</v>
      </c>
      <c r="BJ51" s="39" t="b">
        <v>0</v>
      </c>
      <c r="BK51" s="39" t="b">
        <v>0</v>
      </c>
      <c r="BL51" s="39" t="b">
        <v>1</v>
      </c>
      <c r="BM51" s="39" t="b">
        <v>1</v>
      </c>
      <c r="BN51" s="39" t="b">
        <v>0</v>
      </c>
      <c r="BO51" s="39" t="b">
        <v>0</v>
      </c>
      <c r="BP51" s="39" t="b">
        <v>1</v>
      </c>
      <c r="BQ51" s="39" t="b">
        <v>1</v>
      </c>
      <c r="BR51" s="39" t="b">
        <v>0</v>
      </c>
      <c r="BS51" s="39" t="b">
        <v>0</v>
      </c>
      <c r="BT51" s="40" t="b">
        <v>1</v>
      </c>
      <c r="BU51" s="40" t="b">
        <v>1</v>
      </c>
      <c r="BV51" s="40" t="b">
        <v>1</v>
      </c>
      <c r="BW51" s="40" t="b">
        <v>1</v>
      </c>
      <c r="BX51" s="19">
        <f t="shared" si="2"/>
        <v>31</v>
      </c>
      <c r="BY51" s="20">
        <f t="shared" si="3"/>
        <v>15</v>
      </c>
      <c r="BZ51" s="21">
        <f t="shared" si="4"/>
        <v>0.4838709677</v>
      </c>
      <c r="CA51" s="22" t="str">
        <f t="shared" si="5"/>
        <v>BAD IN NOV</v>
      </c>
      <c r="CB51" s="19">
        <f t="shared" si="6"/>
        <v>37</v>
      </c>
      <c r="CC51" s="20">
        <f t="shared" si="7"/>
        <v>15</v>
      </c>
      <c r="CD51" s="23">
        <f t="shared" si="8"/>
        <v>0.4054054054</v>
      </c>
      <c r="CE51" s="24" t="str">
        <f t="shared" si="9"/>
        <v>Good in dec</v>
      </c>
      <c r="CF51" s="24" t="str">
        <f t="shared" si="10"/>
        <v>NOT CONNECT</v>
      </c>
    </row>
    <row r="52">
      <c r="A52" s="36" t="s">
        <v>113</v>
      </c>
      <c r="B52" s="37" t="s">
        <v>114</v>
      </c>
      <c r="C52" s="38">
        <v>9.794098389E9</v>
      </c>
      <c r="D52" s="36" t="s">
        <v>83</v>
      </c>
      <c r="E52" s="28">
        <f t="shared" si="11"/>
        <v>64</v>
      </c>
      <c r="F52" s="28">
        <f t="shared" si="12"/>
        <v>28</v>
      </c>
      <c r="G52" s="29">
        <f t="shared" si="13"/>
        <v>44</v>
      </c>
      <c r="H52" s="28">
        <f t="shared" si="14"/>
        <v>49</v>
      </c>
      <c r="I52" s="28">
        <f t="shared" si="15"/>
        <v>23</v>
      </c>
      <c r="J52" s="35">
        <f t="shared" si="16"/>
        <v>46.93877551</v>
      </c>
      <c r="K52" s="17"/>
      <c r="L52" s="39" t="b">
        <v>0</v>
      </c>
      <c r="M52" s="39" t="b">
        <v>1</v>
      </c>
      <c r="N52" s="39" t="b">
        <v>1</v>
      </c>
      <c r="O52" s="39" t="b">
        <v>0</v>
      </c>
      <c r="P52" s="39" t="b">
        <v>0</v>
      </c>
      <c r="Q52" s="39" t="b">
        <v>0</v>
      </c>
      <c r="R52" s="39" t="b">
        <v>0</v>
      </c>
      <c r="S52" s="39" t="b">
        <v>0</v>
      </c>
      <c r="T52" s="39" t="b">
        <v>0</v>
      </c>
      <c r="U52" s="39" t="b">
        <v>0</v>
      </c>
      <c r="V52" s="39" t="b">
        <v>0</v>
      </c>
      <c r="W52" s="39" t="b">
        <v>0</v>
      </c>
      <c r="X52" s="39" t="b">
        <v>0</v>
      </c>
      <c r="Y52" s="39" t="b">
        <v>0</v>
      </c>
      <c r="Z52" s="39" t="b">
        <v>0</v>
      </c>
      <c r="AA52" s="39" t="b">
        <v>0</v>
      </c>
      <c r="AB52" s="39" t="b">
        <v>0</v>
      </c>
      <c r="AC52" s="39" t="b">
        <v>0</v>
      </c>
      <c r="AD52" s="39" t="b">
        <v>0</v>
      </c>
      <c r="AE52" s="39" t="b">
        <v>0</v>
      </c>
      <c r="AF52" s="39" t="b">
        <v>0</v>
      </c>
      <c r="AG52" s="39" t="b">
        <v>0</v>
      </c>
      <c r="AH52" s="39" t="b">
        <v>0</v>
      </c>
      <c r="AI52" s="39" t="b">
        <v>0</v>
      </c>
      <c r="AJ52" s="39" t="b">
        <v>0</v>
      </c>
      <c r="AK52" s="39" t="b">
        <v>0</v>
      </c>
      <c r="AL52" s="39" t="b">
        <v>1</v>
      </c>
      <c r="AM52" s="39" t="b">
        <v>0</v>
      </c>
      <c r="AN52" s="39" t="b">
        <v>0</v>
      </c>
      <c r="AO52" s="39" t="b">
        <v>0</v>
      </c>
      <c r="AP52" s="39" t="b">
        <v>1</v>
      </c>
      <c r="AQ52" s="39" t="b">
        <v>0</v>
      </c>
      <c r="AR52" s="39" t="b">
        <v>1</v>
      </c>
      <c r="AS52" s="39" t="b">
        <v>1</v>
      </c>
      <c r="AT52" s="39" t="b">
        <v>0</v>
      </c>
      <c r="AU52" s="39" t="b">
        <v>0</v>
      </c>
      <c r="AV52" s="39" t="b">
        <v>0</v>
      </c>
      <c r="AW52" s="39" t="b">
        <v>0</v>
      </c>
      <c r="AX52" s="39" t="b">
        <v>0</v>
      </c>
      <c r="AY52" s="39" t="b">
        <v>0</v>
      </c>
      <c r="AZ52" s="39" t="b">
        <v>1</v>
      </c>
      <c r="BA52" s="39" t="b">
        <v>1</v>
      </c>
      <c r="BB52" s="39" t="b">
        <v>1</v>
      </c>
      <c r="BC52" s="39" t="b">
        <v>1</v>
      </c>
      <c r="BD52" s="39" t="b">
        <v>1</v>
      </c>
      <c r="BE52" s="39" t="b">
        <v>1</v>
      </c>
      <c r="BF52" s="39" t="b">
        <v>1</v>
      </c>
      <c r="BG52" s="39" t="b">
        <v>1</v>
      </c>
      <c r="BH52" s="39" t="b">
        <v>0</v>
      </c>
      <c r="BI52" s="39" t="b">
        <v>1</v>
      </c>
      <c r="BJ52" s="39" t="b">
        <v>1</v>
      </c>
      <c r="BK52" s="39" t="b">
        <v>1</v>
      </c>
      <c r="BL52" s="39" t="b">
        <v>1</v>
      </c>
      <c r="BM52" s="39" t="b">
        <v>1</v>
      </c>
      <c r="BN52" s="39" t="b">
        <v>1</v>
      </c>
      <c r="BO52" s="39" t="b">
        <v>1</v>
      </c>
      <c r="BP52" s="39" t="b">
        <v>0</v>
      </c>
      <c r="BQ52" s="39" t="b">
        <v>1</v>
      </c>
      <c r="BR52" s="39" t="b">
        <v>1</v>
      </c>
      <c r="BS52" s="39" t="b">
        <v>1</v>
      </c>
      <c r="BT52" s="40" t="b">
        <v>1</v>
      </c>
      <c r="BU52" s="40" t="b">
        <v>1</v>
      </c>
      <c r="BV52" s="40" t="b">
        <v>1</v>
      </c>
      <c r="BW52" s="40" t="b">
        <v>1</v>
      </c>
      <c r="BX52" s="19">
        <f t="shared" si="2"/>
        <v>31</v>
      </c>
      <c r="BY52" s="20">
        <f t="shared" si="3"/>
        <v>23</v>
      </c>
      <c r="BZ52" s="21">
        <f t="shared" si="4"/>
        <v>0.7419354839</v>
      </c>
      <c r="CA52" s="22" t="str">
        <f t="shared" si="5"/>
        <v>GOOD IN NOV</v>
      </c>
      <c r="CB52" s="19">
        <f t="shared" si="6"/>
        <v>37</v>
      </c>
      <c r="CC52" s="20">
        <f t="shared" si="7"/>
        <v>25</v>
      </c>
      <c r="CD52" s="23">
        <f t="shared" si="8"/>
        <v>0.6756756757</v>
      </c>
      <c r="CE52" s="24" t="str">
        <f t="shared" si="9"/>
        <v>Good in dec</v>
      </c>
      <c r="CF52" s="24" t="str">
        <f t="shared" si="10"/>
        <v>NOT CONNECT</v>
      </c>
    </row>
    <row r="53">
      <c r="A53" s="36" t="s">
        <v>115</v>
      </c>
      <c r="B53" s="37" t="s">
        <v>116</v>
      </c>
      <c r="C53" s="38">
        <v>8.960127796E9</v>
      </c>
      <c r="D53" s="36" t="s">
        <v>83</v>
      </c>
      <c r="E53" s="28">
        <f t="shared" si="11"/>
        <v>64</v>
      </c>
      <c r="F53" s="28">
        <f t="shared" si="12"/>
        <v>28</v>
      </c>
      <c r="G53" s="29">
        <f t="shared" si="13"/>
        <v>44</v>
      </c>
      <c r="H53" s="28">
        <f t="shared" si="14"/>
        <v>49</v>
      </c>
      <c r="I53" s="28">
        <f t="shared" si="15"/>
        <v>24</v>
      </c>
      <c r="J53" s="35">
        <f t="shared" si="16"/>
        <v>48.97959184</v>
      </c>
      <c r="K53" s="17"/>
      <c r="L53" s="39" t="b">
        <v>0</v>
      </c>
      <c r="M53" s="39" t="b">
        <v>0</v>
      </c>
      <c r="N53" s="39" t="b">
        <v>1</v>
      </c>
      <c r="O53" s="39" t="b">
        <v>0</v>
      </c>
      <c r="P53" s="39" t="b">
        <v>0</v>
      </c>
      <c r="Q53" s="39" t="b">
        <v>0</v>
      </c>
      <c r="R53" s="39" t="b">
        <v>1</v>
      </c>
      <c r="S53" s="39" t="b">
        <v>1</v>
      </c>
      <c r="T53" s="39" t="b">
        <v>0</v>
      </c>
      <c r="U53" s="39" t="b">
        <v>1</v>
      </c>
      <c r="V53" s="39" t="b">
        <v>1</v>
      </c>
      <c r="W53" s="39" t="b">
        <v>0</v>
      </c>
      <c r="X53" s="39" t="b">
        <v>0</v>
      </c>
      <c r="Y53" s="39" t="b">
        <v>0</v>
      </c>
      <c r="Z53" s="39" t="b">
        <v>0</v>
      </c>
      <c r="AA53" s="39" t="b">
        <v>0</v>
      </c>
      <c r="AB53" s="39" t="b">
        <v>0</v>
      </c>
      <c r="AC53" s="39" t="b">
        <v>0</v>
      </c>
      <c r="AD53" s="39" t="b">
        <v>0</v>
      </c>
      <c r="AE53" s="39" t="b">
        <v>0</v>
      </c>
      <c r="AF53" s="39" t="b">
        <v>0</v>
      </c>
      <c r="AG53" s="39" t="b">
        <v>0</v>
      </c>
      <c r="AH53" s="39" t="b">
        <v>0</v>
      </c>
      <c r="AI53" s="39" t="b">
        <v>0</v>
      </c>
      <c r="AJ53" s="39" t="b">
        <v>0</v>
      </c>
      <c r="AK53" s="39" t="b">
        <v>0</v>
      </c>
      <c r="AL53" s="39" t="b">
        <v>1</v>
      </c>
      <c r="AM53" s="39" t="b">
        <v>0</v>
      </c>
      <c r="AN53" s="39" t="b">
        <v>0</v>
      </c>
      <c r="AO53" s="39" t="b">
        <v>0</v>
      </c>
      <c r="AP53" s="39" t="b">
        <v>1</v>
      </c>
      <c r="AQ53" s="39" t="b">
        <v>0</v>
      </c>
      <c r="AR53" s="39" t="b">
        <v>1</v>
      </c>
      <c r="AS53" s="39" t="b">
        <v>0</v>
      </c>
      <c r="AT53" s="39" t="b">
        <v>1</v>
      </c>
      <c r="AU53" s="39" t="b">
        <v>1</v>
      </c>
      <c r="AV53" s="39" t="b">
        <v>1</v>
      </c>
      <c r="AW53" s="39" t="b">
        <v>0</v>
      </c>
      <c r="AX53" s="39" t="b">
        <v>1</v>
      </c>
      <c r="AY53" s="39" t="b">
        <v>1</v>
      </c>
      <c r="AZ53" s="39" t="b">
        <v>1</v>
      </c>
      <c r="BA53" s="39" t="b">
        <v>1</v>
      </c>
      <c r="BB53" s="39" t="b">
        <v>0</v>
      </c>
      <c r="BC53" s="39" t="b">
        <v>0</v>
      </c>
      <c r="BD53" s="39" t="b">
        <v>1</v>
      </c>
      <c r="BE53" s="39" t="b">
        <v>1</v>
      </c>
      <c r="BF53" s="39" t="b">
        <v>1</v>
      </c>
      <c r="BG53" s="39" t="b">
        <v>1</v>
      </c>
      <c r="BH53" s="39" t="b">
        <v>1</v>
      </c>
      <c r="BI53" s="39" t="b">
        <v>0</v>
      </c>
      <c r="BJ53" s="39" t="b">
        <v>0</v>
      </c>
      <c r="BK53" s="39" t="b">
        <v>1</v>
      </c>
      <c r="BL53" s="39" t="b">
        <v>0</v>
      </c>
      <c r="BM53" s="39" t="b">
        <v>0</v>
      </c>
      <c r="BN53" s="39" t="b">
        <v>1</v>
      </c>
      <c r="BO53" s="39" t="b">
        <v>0</v>
      </c>
      <c r="BP53" s="39" t="b">
        <v>1</v>
      </c>
      <c r="BQ53" s="39" t="b">
        <v>0</v>
      </c>
      <c r="BR53" s="39" t="b">
        <v>1</v>
      </c>
      <c r="BS53" s="39" t="b">
        <v>1</v>
      </c>
      <c r="BT53" s="40" t="b">
        <v>0</v>
      </c>
      <c r="BU53" s="40" t="b">
        <v>1</v>
      </c>
      <c r="BV53" s="40" t="b">
        <v>1</v>
      </c>
      <c r="BW53" s="40" t="b">
        <v>1</v>
      </c>
      <c r="BX53" s="19">
        <f t="shared" si="2"/>
        <v>31</v>
      </c>
      <c r="BY53" s="20">
        <f t="shared" si="3"/>
        <v>20</v>
      </c>
      <c r="BZ53" s="21">
        <f t="shared" si="4"/>
        <v>0.6451612903</v>
      </c>
      <c r="CA53" s="22" t="str">
        <f t="shared" si="5"/>
        <v>GOOD IN NOV</v>
      </c>
      <c r="CB53" s="19">
        <f t="shared" si="6"/>
        <v>37</v>
      </c>
      <c r="CC53" s="20">
        <f t="shared" si="7"/>
        <v>22</v>
      </c>
      <c r="CD53" s="23">
        <f t="shared" si="8"/>
        <v>0.5945945946</v>
      </c>
      <c r="CE53" s="24" t="str">
        <f t="shared" si="9"/>
        <v>Good in dec</v>
      </c>
      <c r="CF53" s="24" t="str">
        <f t="shared" si="10"/>
        <v>NOT CONNECT</v>
      </c>
    </row>
    <row r="54">
      <c r="A54" s="36" t="s">
        <v>117</v>
      </c>
      <c r="B54" s="37" t="s">
        <v>118</v>
      </c>
      <c r="C54" s="38">
        <v>9.971853988E9</v>
      </c>
      <c r="D54" s="36" t="s">
        <v>83</v>
      </c>
      <c r="E54" s="28">
        <f t="shared" si="11"/>
        <v>64</v>
      </c>
      <c r="F54" s="28">
        <f t="shared" si="12"/>
        <v>9</v>
      </c>
      <c r="G54" s="29">
        <f t="shared" si="13"/>
        <v>14</v>
      </c>
      <c r="H54" s="28">
        <f t="shared" si="14"/>
        <v>49</v>
      </c>
      <c r="I54" s="28">
        <f t="shared" si="15"/>
        <v>9</v>
      </c>
      <c r="J54" s="35">
        <f t="shared" si="16"/>
        <v>18.36734694</v>
      </c>
      <c r="K54" s="17"/>
      <c r="L54" s="39" t="b">
        <v>0</v>
      </c>
      <c r="M54" s="39" t="b">
        <v>0</v>
      </c>
      <c r="N54" s="39" t="b">
        <v>0</v>
      </c>
      <c r="O54" s="39" t="b">
        <v>0</v>
      </c>
      <c r="P54" s="39" t="b">
        <v>0</v>
      </c>
      <c r="Q54" s="39" t="b">
        <v>0</v>
      </c>
      <c r="R54" s="39" t="b">
        <v>0</v>
      </c>
      <c r="S54" s="39" t="b">
        <v>0</v>
      </c>
      <c r="T54" s="39" t="b">
        <v>0</v>
      </c>
      <c r="U54" s="39" t="b">
        <v>0</v>
      </c>
      <c r="V54" s="39" t="b">
        <v>0</v>
      </c>
      <c r="W54" s="39" t="b">
        <v>0</v>
      </c>
      <c r="X54" s="39" t="b">
        <v>0</v>
      </c>
      <c r="Y54" s="39" t="b">
        <v>0</v>
      </c>
      <c r="Z54" s="39" t="b">
        <v>0</v>
      </c>
      <c r="AA54" s="39" t="b">
        <v>0</v>
      </c>
      <c r="AB54" s="39" t="b">
        <v>0</v>
      </c>
      <c r="AC54" s="39" t="b">
        <v>0</v>
      </c>
      <c r="AD54" s="39" t="b">
        <v>0</v>
      </c>
      <c r="AE54" s="39" t="b">
        <v>0</v>
      </c>
      <c r="AF54" s="39" t="b">
        <v>0</v>
      </c>
      <c r="AG54" s="39" t="b">
        <v>0</v>
      </c>
      <c r="AH54" s="39" t="b">
        <v>0</v>
      </c>
      <c r="AI54" s="39" t="b">
        <v>0</v>
      </c>
      <c r="AJ54" s="39" t="b">
        <v>0</v>
      </c>
      <c r="AK54" s="39" t="b">
        <v>0</v>
      </c>
      <c r="AL54" s="39" t="b">
        <v>0</v>
      </c>
      <c r="AM54" s="39" t="b">
        <v>0</v>
      </c>
      <c r="AN54" s="39" t="b">
        <v>0</v>
      </c>
      <c r="AO54" s="39" t="b">
        <v>0</v>
      </c>
      <c r="AP54" s="39" t="b">
        <v>0</v>
      </c>
      <c r="AQ54" s="39" t="b">
        <v>0</v>
      </c>
      <c r="AR54" s="39" t="b">
        <v>0</v>
      </c>
      <c r="AS54" s="39" t="b">
        <v>0</v>
      </c>
      <c r="AT54" s="39" t="b">
        <v>0</v>
      </c>
      <c r="AU54" s="39" t="b">
        <v>0</v>
      </c>
      <c r="AV54" s="39" t="b">
        <v>0</v>
      </c>
      <c r="AW54" s="39" t="b">
        <v>0</v>
      </c>
      <c r="AX54" s="39" t="b">
        <v>0</v>
      </c>
      <c r="AY54" s="39" t="b">
        <v>1</v>
      </c>
      <c r="AZ54" s="39" t="b">
        <v>0</v>
      </c>
      <c r="BA54" s="39" t="b">
        <v>0</v>
      </c>
      <c r="BB54" s="39" t="b">
        <v>0</v>
      </c>
      <c r="BC54" s="39" t="b">
        <v>0</v>
      </c>
      <c r="BD54" s="39" t="b">
        <v>0</v>
      </c>
      <c r="BE54" s="39" t="b">
        <v>0</v>
      </c>
      <c r="BF54" s="39" t="b">
        <v>0</v>
      </c>
      <c r="BG54" s="39" t="b">
        <v>0</v>
      </c>
      <c r="BH54" s="39" t="b">
        <v>0</v>
      </c>
      <c r="BI54" s="39" t="b">
        <v>0</v>
      </c>
      <c r="BJ54" s="39" t="b">
        <v>0</v>
      </c>
      <c r="BK54" s="39" t="b">
        <v>0</v>
      </c>
      <c r="BL54" s="39" t="b">
        <v>0</v>
      </c>
      <c r="BM54" s="39" t="b">
        <v>0</v>
      </c>
      <c r="BN54" s="39" t="b">
        <v>0</v>
      </c>
      <c r="BO54" s="39" t="b">
        <v>0</v>
      </c>
      <c r="BP54" s="39" t="b">
        <v>1</v>
      </c>
      <c r="BQ54" s="39" t="b">
        <v>1</v>
      </c>
      <c r="BR54" s="39" t="b">
        <v>1</v>
      </c>
      <c r="BS54" s="39" t="b">
        <v>1</v>
      </c>
      <c r="BT54" s="40" t="b">
        <v>1</v>
      </c>
      <c r="BU54" s="40" t="b">
        <v>1</v>
      </c>
      <c r="BV54" s="40" t="b">
        <v>1</v>
      </c>
      <c r="BW54" s="40" t="b">
        <v>1</v>
      </c>
      <c r="BX54" s="19">
        <f t="shared" si="2"/>
        <v>31</v>
      </c>
      <c r="BY54" s="20">
        <f t="shared" si="3"/>
        <v>9</v>
      </c>
      <c r="BZ54" s="21">
        <f t="shared" si="4"/>
        <v>0.2903225806</v>
      </c>
      <c r="CA54" s="22" t="str">
        <f t="shared" si="5"/>
        <v>BAD IN NOV</v>
      </c>
      <c r="CB54" s="19">
        <f t="shared" si="6"/>
        <v>37</v>
      </c>
      <c r="CC54" s="20">
        <f t="shared" si="7"/>
        <v>9</v>
      </c>
      <c r="CD54" s="23">
        <f t="shared" si="8"/>
        <v>0.2432432432</v>
      </c>
      <c r="CE54" s="24" t="str">
        <f t="shared" si="9"/>
        <v>Bad in dec</v>
      </c>
      <c r="CF54" s="24" t="str">
        <f t="shared" si="10"/>
        <v>NOT CONNECT</v>
      </c>
    </row>
    <row r="55">
      <c r="A55" s="36" t="s">
        <v>119</v>
      </c>
      <c r="B55" s="37" t="s">
        <v>120</v>
      </c>
      <c r="C55" s="38">
        <v>9.984945197E9</v>
      </c>
      <c r="D55" s="36" t="s">
        <v>83</v>
      </c>
      <c r="E55" s="28">
        <f t="shared" si="11"/>
        <v>64</v>
      </c>
      <c r="F55" s="28">
        <f t="shared" si="12"/>
        <v>10</v>
      </c>
      <c r="G55" s="29">
        <f t="shared" si="13"/>
        <v>16</v>
      </c>
      <c r="H55" s="28">
        <f t="shared" si="14"/>
        <v>49</v>
      </c>
      <c r="I55" s="28">
        <f t="shared" si="15"/>
        <v>9</v>
      </c>
      <c r="J55" s="35">
        <f t="shared" si="16"/>
        <v>18.36734694</v>
      </c>
      <c r="K55" s="42"/>
      <c r="L55" s="43" t="b">
        <v>0</v>
      </c>
      <c r="M55" s="43" t="b">
        <v>0</v>
      </c>
      <c r="N55" s="43" t="b">
        <v>0</v>
      </c>
      <c r="O55" s="43" t="b">
        <v>0</v>
      </c>
      <c r="P55" s="43" t="b">
        <v>0</v>
      </c>
      <c r="Q55" s="43" t="b">
        <v>0</v>
      </c>
      <c r="R55" s="43" t="b">
        <v>0</v>
      </c>
      <c r="S55" s="43" t="b">
        <v>0</v>
      </c>
      <c r="T55" s="43" t="b">
        <v>0</v>
      </c>
      <c r="U55" s="43" t="b">
        <v>0</v>
      </c>
      <c r="V55" s="43" t="b">
        <v>0</v>
      </c>
      <c r="W55" s="43" t="b">
        <v>0</v>
      </c>
      <c r="X55" s="43" t="b">
        <v>0</v>
      </c>
      <c r="Y55" s="43" t="b">
        <v>0</v>
      </c>
      <c r="Z55" s="43" t="b">
        <v>0</v>
      </c>
      <c r="AA55" s="43" t="b">
        <v>0</v>
      </c>
      <c r="AB55" s="43" t="b">
        <v>0</v>
      </c>
      <c r="AC55" s="43" t="b">
        <v>0</v>
      </c>
      <c r="AD55" s="43" t="b">
        <v>0</v>
      </c>
      <c r="AE55" s="43" t="b">
        <v>0</v>
      </c>
      <c r="AF55" s="43" t="b">
        <v>0</v>
      </c>
      <c r="AG55" s="43" t="b">
        <v>0</v>
      </c>
      <c r="AH55" s="43" t="b">
        <v>0</v>
      </c>
      <c r="AI55" s="43" t="b">
        <v>0</v>
      </c>
      <c r="AJ55" s="43" t="b">
        <v>0</v>
      </c>
      <c r="AK55" s="43" t="b">
        <v>0</v>
      </c>
      <c r="AL55" s="43" t="b">
        <v>0</v>
      </c>
      <c r="AM55" s="43" t="b">
        <v>0</v>
      </c>
      <c r="AN55" s="43" t="b">
        <v>0</v>
      </c>
      <c r="AO55" s="43" t="b">
        <v>0</v>
      </c>
      <c r="AP55" s="43" t="b">
        <v>0</v>
      </c>
      <c r="AQ55" s="43" t="b">
        <v>0</v>
      </c>
      <c r="AR55" s="43" t="b">
        <v>0</v>
      </c>
      <c r="AS55" s="43" t="b">
        <v>0</v>
      </c>
      <c r="AT55" s="43" t="b">
        <v>0</v>
      </c>
      <c r="AU55" s="43" t="b">
        <v>0</v>
      </c>
      <c r="AV55" s="43" t="b">
        <v>0</v>
      </c>
      <c r="AW55" s="43" t="b">
        <v>0</v>
      </c>
      <c r="AX55" s="43" t="b">
        <v>0</v>
      </c>
      <c r="AY55" s="43" t="b">
        <v>0</v>
      </c>
      <c r="AZ55" s="43" t="b">
        <v>0</v>
      </c>
      <c r="BA55" s="43" t="b">
        <v>0</v>
      </c>
      <c r="BB55" s="43" t="b">
        <v>0</v>
      </c>
      <c r="BC55" s="43" t="b">
        <v>0</v>
      </c>
      <c r="BD55" s="43" t="b">
        <v>0</v>
      </c>
      <c r="BE55" s="43" t="b">
        <v>0</v>
      </c>
      <c r="BF55" s="43" t="b">
        <v>0</v>
      </c>
      <c r="BG55" s="43" t="b">
        <v>0</v>
      </c>
      <c r="BH55" s="43" t="b">
        <v>1</v>
      </c>
      <c r="BI55" s="43" t="b">
        <v>0</v>
      </c>
      <c r="BJ55" s="43" t="b">
        <v>1</v>
      </c>
      <c r="BK55" s="43" t="b">
        <v>0</v>
      </c>
      <c r="BL55" s="43" t="b">
        <v>1</v>
      </c>
      <c r="BM55" s="43" t="b">
        <v>1</v>
      </c>
      <c r="BN55" s="43" t="b">
        <v>0</v>
      </c>
      <c r="BO55" s="43" t="b">
        <v>0</v>
      </c>
      <c r="BP55" s="43" t="b">
        <v>1</v>
      </c>
      <c r="BQ55" s="43" t="b">
        <v>1</v>
      </c>
      <c r="BR55" s="43" t="b">
        <v>0</v>
      </c>
      <c r="BS55" s="43" t="b">
        <v>1</v>
      </c>
      <c r="BT55" s="40" t="b">
        <v>1</v>
      </c>
      <c r="BU55" s="40" t="b">
        <v>1</v>
      </c>
      <c r="BV55" s="40" t="b">
        <v>1</v>
      </c>
      <c r="BW55" s="40" t="b">
        <v>0</v>
      </c>
      <c r="BX55" s="19">
        <f t="shared" si="2"/>
        <v>31</v>
      </c>
      <c r="BY55" s="20">
        <f t="shared" si="3"/>
        <v>10</v>
      </c>
      <c r="BZ55" s="21">
        <f t="shared" si="4"/>
        <v>0.3225806452</v>
      </c>
      <c r="CA55" s="22" t="str">
        <f t="shared" si="5"/>
        <v>BAD IN NOV</v>
      </c>
      <c r="CB55" s="19">
        <f t="shared" si="6"/>
        <v>37</v>
      </c>
      <c r="CC55" s="20">
        <f t="shared" si="7"/>
        <v>10</v>
      </c>
      <c r="CD55" s="23">
        <f t="shared" si="8"/>
        <v>0.2702702703</v>
      </c>
      <c r="CE55" s="24" t="str">
        <f t="shared" si="9"/>
        <v>Bad in dec</v>
      </c>
      <c r="CF55" s="24" t="str">
        <f t="shared" si="10"/>
        <v>NOT CONNECT</v>
      </c>
    </row>
    <row r="56">
      <c r="A56" s="36" t="s">
        <v>121</v>
      </c>
      <c r="B56" s="37" t="s">
        <v>122</v>
      </c>
      <c r="C56" s="38">
        <v>8.858377236E9</v>
      </c>
      <c r="D56" s="36" t="s">
        <v>83</v>
      </c>
      <c r="E56" s="28">
        <f t="shared" si="11"/>
        <v>64</v>
      </c>
      <c r="F56" s="28">
        <f t="shared" si="12"/>
        <v>42</v>
      </c>
      <c r="G56" s="29">
        <f t="shared" si="13"/>
        <v>66</v>
      </c>
      <c r="H56" s="28">
        <f t="shared" si="14"/>
        <v>49</v>
      </c>
      <c r="I56" s="28">
        <f t="shared" si="15"/>
        <v>35</v>
      </c>
      <c r="J56" s="30">
        <f t="shared" si="16"/>
        <v>71.42857143</v>
      </c>
      <c r="K56" s="17"/>
      <c r="L56" s="39" t="b">
        <v>1</v>
      </c>
      <c r="M56" s="39" t="b">
        <v>1</v>
      </c>
      <c r="N56" s="39" t="b">
        <v>1</v>
      </c>
      <c r="O56" s="39" t="b">
        <v>1</v>
      </c>
      <c r="P56" s="39" t="b">
        <v>1</v>
      </c>
      <c r="Q56" s="39" t="b">
        <v>1</v>
      </c>
      <c r="R56" s="39" t="b">
        <v>1</v>
      </c>
      <c r="S56" s="39" t="b">
        <v>1</v>
      </c>
      <c r="T56" s="39" t="b">
        <v>0</v>
      </c>
      <c r="U56" s="39" t="b">
        <v>0</v>
      </c>
      <c r="V56" s="39" t="b">
        <v>1</v>
      </c>
      <c r="W56" s="39" t="b">
        <v>1</v>
      </c>
      <c r="X56" s="39" t="b">
        <v>0</v>
      </c>
      <c r="Y56" s="39" t="b">
        <v>1</v>
      </c>
      <c r="Z56" s="39" t="b">
        <v>1</v>
      </c>
      <c r="AA56" s="39" t="b">
        <v>1</v>
      </c>
      <c r="AB56" s="39" t="b">
        <v>1</v>
      </c>
      <c r="AC56" s="39" t="b">
        <v>1</v>
      </c>
      <c r="AD56" s="39" t="b">
        <v>1</v>
      </c>
      <c r="AE56" s="39" t="b">
        <v>1</v>
      </c>
      <c r="AF56" s="39" t="b">
        <v>0</v>
      </c>
      <c r="AG56" s="39" t="b">
        <v>0</v>
      </c>
      <c r="AH56" s="39" t="b">
        <v>1</v>
      </c>
      <c r="AI56" s="39" t="b">
        <v>0</v>
      </c>
      <c r="AJ56" s="39" t="b">
        <v>1</v>
      </c>
      <c r="AK56" s="39" t="b">
        <v>0</v>
      </c>
      <c r="AL56" s="39" t="b">
        <v>1</v>
      </c>
      <c r="AM56" s="39" t="b">
        <v>0</v>
      </c>
      <c r="AN56" s="39" t="b">
        <v>0</v>
      </c>
      <c r="AO56" s="39" t="b">
        <v>0</v>
      </c>
      <c r="AP56" s="39" t="b">
        <v>0</v>
      </c>
      <c r="AQ56" s="39" t="b">
        <v>0</v>
      </c>
      <c r="AR56" s="39" t="b">
        <v>0</v>
      </c>
      <c r="AS56" s="39" t="b">
        <v>0</v>
      </c>
      <c r="AT56" s="39" t="b">
        <v>0</v>
      </c>
      <c r="AU56" s="39" t="b">
        <v>0</v>
      </c>
      <c r="AV56" s="39" t="b">
        <v>0</v>
      </c>
      <c r="AW56" s="39" t="b">
        <v>1</v>
      </c>
      <c r="AX56" s="39" t="b">
        <v>1</v>
      </c>
      <c r="AY56" s="39" t="b">
        <v>0</v>
      </c>
      <c r="AZ56" s="39" t="b">
        <v>1</v>
      </c>
      <c r="BA56" s="39" t="b">
        <v>1</v>
      </c>
      <c r="BB56" s="39" t="b">
        <v>1</v>
      </c>
      <c r="BC56" s="39" t="b">
        <v>1</v>
      </c>
      <c r="BD56" s="39" t="b">
        <v>1</v>
      </c>
      <c r="BE56" s="39" t="b">
        <v>1</v>
      </c>
      <c r="BF56" s="39" t="b">
        <v>1</v>
      </c>
      <c r="BG56" s="39" t="b">
        <v>1</v>
      </c>
      <c r="BH56" s="39" t="b">
        <v>0</v>
      </c>
      <c r="BI56" s="39" t="b">
        <v>1</v>
      </c>
      <c r="BJ56" s="39" t="b">
        <v>1</v>
      </c>
      <c r="BK56" s="39" t="b">
        <v>1</v>
      </c>
      <c r="BL56" s="39" t="b">
        <v>0</v>
      </c>
      <c r="BM56" s="39" t="b">
        <v>1</v>
      </c>
      <c r="BN56" s="39" t="b">
        <v>1</v>
      </c>
      <c r="BO56" s="39" t="b">
        <v>1</v>
      </c>
      <c r="BP56" s="39" t="b">
        <v>1</v>
      </c>
      <c r="BQ56" s="39" t="b">
        <v>1</v>
      </c>
      <c r="BR56" s="39" t="b">
        <v>1</v>
      </c>
      <c r="BS56" s="39" t="b">
        <v>1</v>
      </c>
      <c r="BT56" s="40" t="b">
        <v>1</v>
      </c>
      <c r="BU56" s="40" t="b">
        <v>1</v>
      </c>
      <c r="BV56" s="40" t="b">
        <v>0</v>
      </c>
      <c r="BW56" s="40" t="b">
        <v>0</v>
      </c>
      <c r="BX56" s="19">
        <f t="shared" si="2"/>
        <v>31</v>
      </c>
      <c r="BY56" s="20">
        <f t="shared" si="3"/>
        <v>22</v>
      </c>
      <c r="BZ56" s="21">
        <f t="shared" si="4"/>
        <v>0.7096774194</v>
      </c>
      <c r="CA56" s="22" t="str">
        <f t="shared" si="5"/>
        <v>GOOD IN NOV</v>
      </c>
      <c r="CB56" s="19">
        <f t="shared" si="6"/>
        <v>37</v>
      </c>
      <c r="CC56" s="20">
        <f t="shared" si="7"/>
        <v>22</v>
      </c>
      <c r="CD56" s="23">
        <f t="shared" si="8"/>
        <v>0.5945945946</v>
      </c>
      <c r="CE56" s="24" t="str">
        <f t="shared" si="9"/>
        <v>Good in dec</v>
      </c>
      <c r="CF56" s="24" t="str">
        <f t="shared" si="10"/>
        <v>NOT CONNECT</v>
      </c>
    </row>
    <row r="57">
      <c r="A57" s="36" t="s">
        <v>123</v>
      </c>
      <c r="B57" s="37" t="s">
        <v>124</v>
      </c>
      <c r="C57" s="38">
        <v>9.569731364E9</v>
      </c>
      <c r="D57" s="36" t="s">
        <v>83</v>
      </c>
      <c r="E57" s="28">
        <f t="shared" si="11"/>
        <v>64</v>
      </c>
      <c r="F57" s="28">
        <f t="shared" si="12"/>
        <v>11</v>
      </c>
      <c r="G57" s="29">
        <f t="shared" si="13"/>
        <v>17</v>
      </c>
      <c r="H57" s="28">
        <f t="shared" si="14"/>
        <v>49</v>
      </c>
      <c r="I57" s="28">
        <f t="shared" si="15"/>
        <v>10</v>
      </c>
      <c r="J57" s="35">
        <f t="shared" si="16"/>
        <v>20.40816327</v>
      </c>
      <c r="K57" s="42"/>
      <c r="L57" s="43" t="b">
        <v>0</v>
      </c>
      <c r="M57" s="43" t="b">
        <v>0</v>
      </c>
      <c r="N57" s="43" t="b">
        <v>0</v>
      </c>
      <c r="O57" s="43" t="b">
        <v>0</v>
      </c>
      <c r="P57" s="43" t="b">
        <v>0</v>
      </c>
      <c r="Q57" s="43" t="b">
        <v>0</v>
      </c>
      <c r="R57" s="43" t="b">
        <v>0</v>
      </c>
      <c r="S57" s="43" t="b">
        <v>0</v>
      </c>
      <c r="T57" s="43" t="b">
        <v>0</v>
      </c>
      <c r="U57" s="43" t="b">
        <v>0</v>
      </c>
      <c r="V57" s="43" t="b">
        <v>0</v>
      </c>
      <c r="W57" s="43" t="b">
        <v>0</v>
      </c>
      <c r="X57" s="43" t="b">
        <v>0</v>
      </c>
      <c r="Y57" s="43" t="b">
        <v>0</v>
      </c>
      <c r="Z57" s="43" t="b">
        <v>0</v>
      </c>
      <c r="AA57" s="43" t="b">
        <v>0</v>
      </c>
      <c r="AB57" s="43" t="b">
        <v>0</v>
      </c>
      <c r="AC57" s="43" t="b">
        <v>0</v>
      </c>
      <c r="AD57" s="43" t="b">
        <v>0</v>
      </c>
      <c r="AE57" s="43" t="b">
        <v>0</v>
      </c>
      <c r="AF57" s="43" t="b">
        <v>0</v>
      </c>
      <c r="AG57" s="43" t="b">
        <v>0</v>
      </c>
      <c r="AH57" s="43" t="b">
        <v>0</v>
      </c>
      <c r="AI57" s="43" t="b">
        <v>0</v>
      </c>
      <c r="AJ57" s="43" t="b">
        <v>0</v>
      </c>
      <c r="AK57" s="43" t="b">
        <v>0</v>
      </c>
      <c r="AL57" s="43" t="b">
        <v>1</v>
      </c>
      <c r="AM57" s="43" t="b">
        <v>0</v>
      </c>
      <c r="AN57" s="43" t="b">
        <v>0</v>
      </c>
      <c r="AO57" s="43" t="b">
        <v>0</v>
      </c>
      <c r="AP57" s="43" t="b">
        <v>0</v>
      </c>
      <c r="AQ57" s="43" t="b">
        <v>0</v>
      </c>
      <c r="AR57" s="43" t="b">
        <v>0</v>
      </c>
      <c r="AS57" s="43" t="b">
        <v>0</v>
      </c>
      <c r="AT57" s="43" t="b">
        <v>0</v>
      </c>
      <c r="AU57" s="43" t="b">
        <v>0</v>
      </c>
      <c r="AV57" s="43" t="b">
        <v>0</v>
      </c>
      <c r="AW57" s="43" t="b">
        <v>0</v>
      </c>
      <c r="AX57" s="43" t="b">
        <v>0</v>
      </c>
      <c r="AY57" s="43" t="b">
        <v>0</v>
      </c>
      <c r="AZ57" s="43" t="b">
        <v>0</v>
      </c>
      <c r="BA57" s="43" t="b">
        <v>0</v>
      </c>
      <c r="BB57" s="43" t="b">
        <v>0</v>
      </c>
      <c r="BC57" s="43" t="b">
        <v>0</v>
      </c>
      <c r="BD57" s="43" t="b">
        <v>0</v>
      </c>
      <c r="BE57" s="43" t="b">
        <v>0</v>
      </c>
      <c r="BF57" s="43" t="b">
        <v>0</v>
      </c>
      <c r="BG57" s="43" t="b">
        <v>0</v>
      </c>
      <c r="BH57" s="43" t="b">
        <v>1</v>
      </c>
      <c r="BI57" s="43" t="b">
        <v>0</v>
      </c>
      <c r="BJ57" s="43" t="b">
        <v>1</v>
      </c>
      <c r="BK57" s="43" t="b">
        <v>0</v>
      </c>
      <c r="BL57" s="43" t="b">
        <v>1</v>
      </c>
      <c r="BM57" s="43" t="b">
        <v>1</v>
      </c>
      <c r="BN57" s="43" t="b">
        <v>0</v>
      </c>
      <c r="BO57" s="43" t="b">
        <v>0</v>
      </c>
      <c r="BP57" s="43" t="b">
        <v>1</v>
      </c>
      <c r="BQ57" s="43" t="b">
        <v>1</v>
      </c>
      <c r="BR57" s="43" t="b">
        <v>1</v>
      </c>
      <c r="BS57" s="43" t="b">
        <v>0</v>
      </c>
      <c r="BT57" s="40" t="b">
        <v>1</v>
      </c>
      <c r="BU57" s="40" t="b">
        <v>1</v>
      </c>
      <c r="BV57" s="40" t="b">
        <v>1</v>
      </c>
      <c r="BW57" s="40" t="b">
        <v>0</v>
      </c>
      <c r="BX57" s="19">
        <f t="shared" si="2"/>
        <v>31</v>
      </c>
      <c r="BY57" s="20">
        <f t="shared" si="3"/>
        <v>10</v>
      </c>
      <c r="BZ57" s="21">
        <f t="shared" si="4"/>
        <v>0.3225806452</v>
      </c>
      <c r="CA57" s="22" t="str">
        <f t="shared" si="5"/>
        <v>BAD IN NOV</v>
      </c>
      <c r="CB57" s="19">
        <f t="shared" si="6"/>
        <v>37</v>
      </c>
      <c r="CC57" s="20">
        <f t="shared" si="7"/>
        <v>10</v>
      </c>
      <c r="CD57" s="23">
        <f t="shared" si="8"/>
        <v>0.2702702703</v>
      </c>
      <c r="CE57" s="24" t="str">
        <f t="shared" si="9"/>
        <v>Bad in dec</v>
      </c>
      <c r="CF57" s="24" t="str">
        <f t="shared" si="10"/>
        <v>NOT CONNECT</v>
      </c>
    </row>
    <row r="58">
      <c r="A58" s="36" t="s">
        <v>125</v>
      </c>
      <c r="B58" s="37" t="s">
        <v>126</v>
      </c>
      <c r="C58" s="38">
        <v>8.765466404E9</v>
      </c>
      <c r="D58" s="36" t="s">
        <v>83</v>
      </c>
      <c r="E58" s="28">
        <f t="shared" si="11"/>
        <v>64</v>
      </c>
      <c r="F58" s="28">
        <f t="shared" si="12"/>
        <v>51</v>
      </c>
      <c r="G58" s="32">
        <f t="shared" si="13"/>
        <v>80</v>
      </c>
      <c r="H58" s="28">
        <f t="shared" si="14"/>
        <v>49</v>
      </c>
      <c r="I58" s="28">
        <f t="shared" si="15"/>
        <v>41</v>
      </c>
      <c r="J58" s="30">
        <f t="shared" si="16"/>
        <v>83.67346939</v>
      </c>
      <c r="K58" s="17"/>
      <c r="L58" s="39" t="b">
        <v>0</v>
      </c>
      <c r="M58" s="39" t="b">
        <v>0</v>
      </c>
      <c r="N58" s="39" t="b">
        <v>1</v>
      </c>
      <c r="O58" s="39" t="b">
        <v>0</v>
      </c>
      <c r="P58" s="39" t="b">
        <v>1</v>
      </c>
      <c r="Q58" s="39" t="b">
        <v>1</v>
      </c>
      <c r="R58" s="39" t="b">
        <v>1</v>
      </c>
      <c r="S58" s="39" t="b">
        <v>1</v>
      </c>
      <c r="T58" s="39" t="b">
        <v>0</v>
      </c>
      <c r="U58" s="39" t="b">
        <v>1</v>
      </c>
      <c r="V58" s="39" t="b">
        <v>1</v>
      </c>
      <c r="W58" s="39" t="b">
        <v>1</v>
      </c>
      <c r="X58" s="39" t="b">
        <v>0</v>
      </c>
      <c r="Y58" s="39" t="b">
        <v>1</v>
      </c>
      <c r="Z58" s="39" t="b">
        <v>0</v>
      </c>
      <c r="AA58" s="39" t="b">
        <v>0</v>
      </c>
      <c r="AB58" s="39" t="b">
        <v>0</v>
      </c>
      <c r="AC58" s="39" t="b">
        <v>1</v>
      </c>
      <c r="AD58" s="39" t="b">
        <v>1</v>
      </c>
      <c r="AE58" s="39" t="b">
        <v>1</v>
      </c>
      <c r="AF58" s="39" t="b">
        <v>0</v>
      </c>
      <c r="AG58" s="39" t="b">
        <v>0</v>
      </c>
      <c r="AH58" s="39" t="b">
        <v>1</v>
      </c>
      <c r="AI58" s="39" t="b">
        <v>1</v>
      </c>
      <c r="AJ58" s="39" t="b">
        <v>1</v>
      </c>
      <c r="AK58" s="39" t="b">
        <v>1</v>
      </c>
      <c r="AL58" s="39" t="b">
        <v>1</v>
      </c>
      <c r="AM58" s="39" t="b">
        <v>0</v>
      </c>
      <c r="AN58" s="39" t="b">
        <v>0</v>
      </c>
      <c r="AO58" s="39" t="b">
        <v>1</v>
      </c>
      <c r="AP58" s="39" t="b">
        <v>1</v>
      </c>
      <c r="AQ58" s="39" t="b">
        <v>1</v>
      </c>
      <c r="AR58" s="39" t="b">
        <v>1</v>
      </c>
      <c r="AS58" s="39" t="b">
        <v>1</v>
      </c>
      <c r="AT58" s="39" t="b">
        <v>1</v>
      </c>
      <c r="AU58" s="39" t="b">
        <v>1</v>
      </c>
      <c r="AV58" s="39" t="b">
        <v>1</v>
      </c>
      <c r="AW58" s="39" t="b">
        <v>0</v>
      </c>
      <c r="AX58" s="39" t="b">
        <v>1</v>
      </c>
      <c r="AY58" s="39" t="b">
        <v>1</v>
      </c>
      <c r="AZ58" s="39" t="b">
        <v>1</v>
      </c>
      <c r="BA58" s="39" t="b">
        <v>1</v>
      </c>
      <c r="BB58" s="39" t="b">
        <v>1</v>
      </c>
      <c r="BC58" s="39" t="b">
        <v>1</v>
      </c>
      <c r="BD58" s="39" t="b">
        <v>1</v>
      </c>
      <c r="BE58" s="39" t="b">
        <v>1</v>
      </c>
      <c r="BF58" s="39" t="b">
        <v>1</v>
      </c>
      <c r="BG58" s="39" t="b">
        <v>1</v>
      </c>
      <c r="BH58" s="39" t="b">
        <v>1</v>
      </c>
      <c r="BI58" s="39" t="b">
        <v>1</v>
      </c>
      <c r="BJ58" s="39" t="b">
        <v>1</v>
      </c>
      <c r="BK58" s="39" t="b">
        <v>1</v>
      </c>
      <c r="BL58" s="39" t="b">
        <v>1</v>
      </c>
      <c r="BM58" s="39" t="b">
        <v>1</v>
      </c>
      <c r="BN58" s="39" t="b">
        <v>1</v>
      </c>
      <c r="BO58" s="39" t="b">
        <v>1</v>
      </c>
      <c r="BP58" s="39" t="b">
        <v>1</v>
      </c>
      <c r="BQ58" s="39" t="b">
        <v>1</v>
      </c>
      <c r="BR58" s="39" t="b">
        <v>1</v>
      </c>
      <c r="BS58" s="39" t="b">
        <v>1</v>
      </c>
      <c r="BT58" s="40" t="b">
        <v>1</v>
      </c>
      <c r="BU58" s="40" t="b">
        <v>1</v>
      </c>
      <c r="BV58" s="40" t="b">
        <v>1</v>
      </c>
      <c r="BW58" s="40" t="b">
        <v>1</v>
      </c>
      <c r="BX58" s="19">
        <f t="shared" si="2"/>
        <v>31</v>
      </c>
      <c r="BY58" s="20">
        <f t="shared" si="3"/>
        <v>30</v>
      </c>
      <c r="BZ58" s="21">
        <f t="shared" si="4"/>
        <v>0.9677419355</v>
      </c>
      <c r="CA58" s="22" t="str">
        <f t="shared" si="5"/>
        <v>GOOD IN NOV</v>
      </c>
      <c r="CB58" s="19">
        <f t="shared" si="6"/>
        <v>37</v>
      </c>
      <c r="CC58" s="20">
        <f t="shared" si="7"/>
        <v>34</v>
      </c>
      <c r="CD58" s="23">
        <f t="shared" si="8"/>
        <v>0.9189189189</v>
      </c>
      <c r="CE58" s="24" t="str">
        <f t="shared" si="9"/>
        <v>Good in dec</v>
      </c>
      <c r="CF58" s="24" t="str">
        <f t="shared" si="10"/>
        <v>NOT CONNECT</v>
      </c>
    </row>
    <row r="59">
      <c r="A59" s="36" t="s">
        <v>127</v>
      </c>
      <c r="B59" s="37" t="s">
        <v>128</v>
      </c>
      <c r="C59" s="38">
        <v>9.119919845E9</v>
      </c>
      <c r="D59" s="36" t="s">
        <v>83</v>
      </c>
      <c r="E59" s="28">
        <f t="shared" si="11"/>
        <v>64</v>
      </c>
      <c r="F59" s="28">
        <f t="shared" si="12"/>
        <v>48</v>
      </c>
      <c r="G59" s="32">
        <f t="shared" si="13"/>
        <v>75</v>
      </c>
      <c r="H59" s="28">
        <f t="shared" si="14"/>
        <v>49</v>
      </c>
      <c r="I59" s="28">
        <f t="shared" si="15"/>
        <v>39</v>
      </c>
      <c r="J59" s="30">
        <f t="shared" si="16"/>
        <v>79.59183673</v>
      </c>
      <c r="K59" s="17"/>
      <c r="L59" s="39" t="b">
        <v>0</v>
      </c>
      <c r="M59" s="39" t="b">
        <v>1</v>
      </c>
      <c r="N59" s="39" t="b">
        <v>1</v>
      </c>
      <c r="O59" s="39" t="b">
        <v>1</v>
      </c>
      <c r="P59" s="39" t="b">
        <v>0</v>
      </c>
      <c r="Q59" s="39" t="b">
        <v>0</v>
      </c>
      <c r="R59" s="39" t="b">
        <v>0</v>
      </c>
      <c r="S59" s="39" t="b">
        <v>0</v>
      </c>
      <c r="T59" s="39" t="b">
        <v>1</v>
      </c>
      <c r="U59" s="39" t="b">
        <v>0</v>
      </c>
      <c r="V59" s="39" t="b">
        <v>1</v>
      </c>
      <c r="W59" s="39" t="b">
        <v>1</v>
      </c>
      <c r="X59" s="39" t="b">
        <v>0</v>
      </c>
      <c r="Y59" s="39" t="b">
        <v>1</v>
      </c>
      <c r="Z59" s="39" t="b">
        <v>1</v>
      </c>
      <c r="AA59" s="39" t="b">
        <v>1</v>
      </c>
      <c r="AB59" s="39" t="b">
        <v>1</v>
      </c>
      <c r="AC59" s="39" t="b">
        <v>1</v>
      </c>
      <c r="AD59" s="39" t="b">
        <v>1</v>
      </c>
      <c r="AE59" s="39" t="b">
        <v>1</v>
      </c>
      <c r="AF59" s="39" t="b">
        <v>1</v>
      </c>
      <c r="AG59" s="39" t="b">
        <v>1</v>
      </c>
      <c r="AH59" s="39" t="b">
        <v>1</v>
      </c>
      <c r="AI59" s="39" t="b">
        <v>1</v>
      </c>
      <c r="AJ59" s="39" t="b">
        <v>1</v>
      </c>
      <c r="AK59" s="39" t="b">
        <v>1</v>
      </c>
      <c r="AL59" s="39" t="b">
        <v>1</v>
      </c>
      <c r="AM59" s="39" t="b">
        <v>1</v>
      </c>
      <c r="AN59" s="39" t="b">
        <v>0</v>
      </c>
      <c r="AO59" s="39" t="b">
        <v>0</v>
      </c>
      <c r="AP59" s="39" t="b">
        <v>1</v>
      </c>
      <c r="AQ59" s="39" t="b">
        <v>1</v>
      </c>
      <c r="AR59" s="39" t="b">
        <v>1</v>
      </c>
      <c r="AS59" s="39" t="b">
        <v>1</v>
      </c>
      <c r="AT59" s="39" t="b">
        <v>1</v>
      </c>
      <c r="AU59" s="39" t="b">
        <v>1</v>
      </c>
      <c r="AV59" s="39" t="b">
        <v>0</v>
      </c>
      <c r="AW59" s="39" t="b">
        <v>0</v>
      </c>
      <c r="AX59" s="39" t="b">
        <v>0</v>
      </c>
      <c r="AY59" s="39" t="b">
        <v>0</v>
      </c>
      <c r="AZ59" s="39" t="b">
        <v>0</v>
      </c>
      <c r="BA59" s="39" t="b">
        <v>1</v>
      </c>
      <c r="BB59" s="39" t="b">
        <v>1</v>
      </c>
      <c r="BC59" s="39" t="b">
        <v>0</v>
      </c>
      <c r="BD59" s="39" t="b">
        <v>0</v>
      </c>
      <c r="BE59" s="39" t="b">
        <v>1</v>
      </c>
      <c r="BF59" s="39" t="b">
        <v>1</v>
      </c>
      <c r="BG59" s="39" t="b">
        <v>1</v>
      </c>
      <c r="BH59" s="39" t="b">
        <v>1</v>
      </c>
      <c r="BI59" s="39" t="b">
        <v>1</v>
      </c>
      <c r="BJ59" s="39" t="b">
        <v>1</v>
      </c>
      <c r="BK59" s="39" t="b">
        <v>1</v>
      </c>
      <c r="BL59" s="39" t="b">
        <v>1</v>
      </c>
      <c r="BM59" s="39" t="b">
        <v>1</v>
      </c>
      <c r="BN59" s="39" t="b">
        <v>1</v>
      </c>
      <c r="BO59" s="39" t="b">
        <v>1</v>
      </c>
      <c r="BP59" s="39" t="b">
        <v>1</v>
      </c>
      <c r="BQ59" s="39" t="b">
        <v>1</v>
      </c>
      <c r="BR59" s="39" t="b">
        <v>1</v>
      </c>
      <c r="BS59" s="39" t="b">
        <v>1</v>
      </c>
      <c r="BT59" s="40" t="b">
        <v>1</v>
      </c>
      <c r="BU59" s="40" t="b">
        <v>1</v>
      </c>
      <c r="BV59" s="40" t="b">
        <v>1</v>
      </c>
      <c r="BW59" s="40" t="b">
        <v>1</v>
      </c>
      <c r="BX59" s="19">
        <f t="shared" si="2"/>
        <v>31</v>
      </c>
      <c r="BY59" s="20">
        <f t="shared" si="3"/>
        <v>24</v>
      </c>
      <c r="BZ59" s="21">
        <f t="shared" si="4"/>
        <v>0.7741935484</v>
      </c>
      <c r="CA59" s="22" t="str">
        <f t="shared" si="5"/>
        <v>GOOD IN NOV</v>
      </c>
      <c r="CB59" s="19">
        <f t="shared" si="6"/>
        <v>37</v>
      </c>
      <c r="CC59" s="20">
        <f t="shared" si="7"/>
        <v>28</v>
      </c>
      <c r="CD59" s="23">
        <f t="shared" si="8"/>
        <v>0.7567567568</v>
      </c>
      <c r="CE59" s="24" t="str">
        <f t="shared" si="9"/>
        <v>Good in dec</v>
      </c>
      <c r="CF59" s="24" t="str">
        <f t="shared" si="10"/>
        <v>NOT CONNECT</v>
      </c>
    </row>
    <row r="60">
      <c r="A60" s="36" t="s">
        <v>129</v>
      </c>
      <c r="B60" s="37" t="s">
        <v>130</v>
      </c>
      <c r="C60" s="38">
        <v>9.305234161E9</v>
      </c>
      <c r="D60" s="36" t="s">
        <v>83</v>
      </c>
      <c r="E60" s="28">
        <f t="shared" si="11"/>
        <v>64</v>
      </c>
      <c r="F60" s="28">
        <f t="shared" si="12"/>
        <v>20</v>
      </c>
      <c r="G60" s="29">
        <f t="shared" si="13"/>
        <v>31</v>
      </c>
      <c r="H60" s="28">
        <f t="shared" si="14"/>
        <v>49</v>
      </c>
      <c r="I60" s="28">
        <f t="shared" si="15"/>
        <v>19</v>
      </c>
      <c r="J60" s="35">
        <f t="shared" si="16"/>
        <v>38.7755102</v>
      </c>
      <c r="K60" s="17"/>
      <c r="L60" s="39" t="b">
        <v>0</v>
      </c>
      <c r="M60" s="39" t="b">
        <v>0</v>
      </c>
      <c r="N60" s="39" t="b">
        <v>0</v>
      </c>
      <c r="O60" s="39" t="b">
        <v>0</v>
      </c>
      <c r="P60" s="39" t="b">
        <v>0</v>
      </c>
      <c r="Q60" s="39" t="b">
        <v>0</v>
      </c>
      <c r="R60" s="39" t="b">
        <v>0</v>
      </c>
      <c r="S60" s="39" t="b">
        <v>0</v>
      </c>
      <c r="T60" s="39" t="b">
        <v>0</v>
      </c>
      <c r="U60" s="39" t="b">
        <v>0</v>
      </c>
      <c r="V60" s="39" t="b">
        <v>1</v>
      </c>
      <c r="W60" s="39" t="b">
        <v>0</v>
      </c>
      <c r="X60" s="39" t="b">
        <v>0</v>
      </c>
      <c r="Y60" s="39" t="b">
        <v>0</v>
      </c>
      <c r="Z60" s="39" t="b">
        <v>0</v>
      </c>
      <c r="AA60" s="39" t="b">
        <v>0</v>
      </c>
      <c r="AB60" s="39" t="b">
        <v>0</v>
      </c>
      <c r="AC60" s="39" t="b">
        <v>0</v>
      </c>
      <c r="AD60" s="39" t="b">
        <v>0</v>
      </c>
      <c r="AE60" s="39" t="b">
        <v>0</v>
      </c>
      <c r="AF60" s="39" t="b">
        <v>0</v>
      </c>
      <c r="AG60" s="39" t="b">
        <v>0</v>
      </c>
      <c r="AH60" s="39" t="b">
        <v>0</v>
      </c>
      <c r="AI60" s="39" t="b">
        <v>0</v>
      </c>
      <c r="AJ60" s="39" t="b">
        <v>0</v>
      </c>
      <c r="AK60" s="39" t="b">
        <v>0</v>
      </c>
      <c r="AL60" s="39" t="b">
        <v>1</v>
      </c>
      <c r="AM60" s="39" t="b">
        <v>1</v>
      </c>
      <c r="AN60" s="39" t="b">
        <v>0</v>
      </c>
      <c r="AO60" s="39" t="b">
        <v>1</v>
      </c>
      <c r="AP60" s="39" t="b">
        <v>0</v>
      </c>
      <c r="AQ60" s="39" t="b">
        <v>0</v>
      </c>
      <c r="AR60" s="39" t="b">
        <v>1</v>
      </c>
      <c r="AS60" s="39" t="b">
        <v>0</v>
      </c>
      <c r="AT60" s="39" t="b">
        <v>0</v>
      </c>
      <c r="AU60" s="39" t="b">
        <v>0</v>
      </c>
      <c r="AV60" s="39" t="b">
        <v>1</v>
      </c>
      <c r="AW60" s="39" t="b">
        <v>0</v>
      </c>
      <c r="AX60" s="39" t="b">
        <v>0</v>
      </c>
      <c r="AY60" s="39" t="b">
        <v>0</v>
      </c>
      <c r="AZ60" s="39" t="b">
        <v>0</v>
      </c>
      <c r="BA60" s="39" t="b">
        <v>0</v>
      </c>
      <c r="BB60" s="39" t="b">
        <v>1</v>
      </c>
      <c r="BC60" s="39" t="b">
        <v>0</v>
      </c>
      <c r="BD60" s="39" t="b">
        <v>1</v>
      </c>
      <c r="BE60" s="39" t="b">
        <v>1</v>
      </c>
      <c r="BF60" s="39" t="b">
        <v>0</v>
      </c>
      <c r="BG60" s="39" t="b">
        <v>1</v>
      </c>
      <c r="BH60" s="39" t="b">
        <v>0</v>
      </c>
      <c r="BI60" s="39" t="b">
        <v>1</v>
      </c>
      <c r="BJ60" s="39" t="b">
        <v>1</v>
      </c>
      <c r="BK60" s="39" t="b">
        <v>1</v>
      </c>
      <c r="BL60" s="39" t="b">
        <v>0</v>
      </c>
      <c r="BM60" s="39" t="b">
        <v>1</v>
      </c>
      <c r="BN60" s="39" t="b">
        <v>1</v>
      </c>
      <c r="BO60" s="39" t="b">
        <v>0</v>
      </c>
      <c r="BP60" s="39" t="b">
        <v>0</v>
      </c>
      <c r="BQ60" s="39" t="b">
        <v>1</v>
      </c>
      <c r="BR60" s="39" t="b">
        <v>1</v>
      </c>
      <c r="BS60" s="39" t="b">
        <v>1</v>
      </c>
      <c r="BT60" s="40" t="b">
        <v>0</v>
      </c>
      <c r="BU60" s="40" t="b">
        <v>0</v>
      </c>
      <c r="BV60" s="40" t="b">
        <v>1</v>
      </c>
      <c r="BW60" s="40" t="b">
        <v>1</v>
      </c>
      <c r="BX60" s="19">
        <f t="shared" si="2"/>
        <v>31</v>
      </c>
      <c r="BY60" s="20">
        <f t="shared" si="3"/>
        <v>15</v>
      </c>
      <c r="BZ60" s="21">
        <f t="shared" si="4"/>
        <v>0.4838709677</v>
      </c>
      <c r="CA60" s="22" t="str">
        <f t="shared" si="5"/>
        <v>BAD IN NOV</v>
      </c>
      <c r="CB60" s="19">
        <f t="shared" si="6"/>
        <v>37</v>
      </c>
      <c r="CC60" s="20">
        <f t="shared" si="7"/>
        <v>18</v>
      </c>
      <c r="CD60" s="23">
        <f t="shared" si="8"/>
        <v>0.4864864865</v>
      </c>
      <c r="CE60" s="24" t="str">
        <f t="shared" si="9"/>
        <v>Good in dec</v>
      </c>
      <c r="CF60" s="24" t="str">
        <f t="shared" si="10"/>
        <v>NOT CONNECT</v>
      </c>
    </row>
    <row r="61">
      <c r="A61" s="36" t="s">
        <v>131</v>
      </c>
      <c r="B61" s="37" t="s">
        <v>132</v>
      </c>
      <c r="C61" s="38">
        <v>8.574120122E9</v>
      </c>
      <c r="D61" s="36" t="s">
        <v>83</v>
      </c>
      <c r="E61" s="28">
        <f t="shared" si="11"/>
        <v>64</v>
      </c>
      <c r="F61" s="28">
        <f t="shared" si="12"/>
        <v>26</v>
      </c>
      <c r="G61" s="29">
        <f t="shared" si="13"/>
        <v>41</v>
      </c>
      <c r="H61" s="28">
        <f t="shared" si="14"/>
        <v>49</v>
      </c>
      <c r="I61" s="28">
        <f t="shared" si="15"/>
        <v>22</v>
      </c>
      <c r="J61" s="35">
        <f t="shared" si="16"/>
        <v>44.89795918</v>
      </c>
      <c r="K61" s="17"/>
      <c r="L61" s="39" t="b">
        <v>0</v>
      </c>
      <c r="M61" s="39" t="b">
        <v>0</v>
      </c>
      <c r="N61" s="39" t="b">
        <v>0</v>
      </c>
      <c r="O61" s="39" t="b">
        <v>0</v>
      </c>
      <c r="P61" s="39" t="b">
        <v>0</v>
      </c>
      <c r="Q61" s="39" t="b">
        <v>0</v>
      </c>
      <c r="R61" s="39" t="b">
        <v>1</v>
      </c>
      <c r="S61" s="39" t="b">
        <v>0</v>
      </c>
      <c r="T61" s="39" t="b">
        <v>0</v>
      </c>
      <c r="U61" s="39" t="b">
        <v>0</v>
      </c>
      <c r="V61" s="39" t="b">
        <v>0</v>
      </c>
      <c r="W61" s="39" t="b">
        <v>0</v>
      </c>
      <c r="X61" s="39" t="b">
        <v>0</v>
      </c>
      <c r="Y61" s="39" t="b">
        <v>0</v>
      </c>
      <c r="Z61" s="39" t="b">
        <v>0</v>
      </c>
      <c r="AA61" s="39" t="b">
        <v>0</v>
      </c>
      <c r="AB61" s="39" t="b">
        <v>0</v>
      </c>
      <c r="AC61" s="39" t="b">
        <v>0</v>
      </c>
      <c r="AD61" s="39" t="b">
        <v>0</v>
      </c>
      <c r="AE61" s="39" t="b">
        <v>0</v>
      </c>
      <c r="AF61" s="39" t="b">
        <v>0</v>
      </c>
      <c r="AG61" s="39" t="b">
        <v>0</v>
      </c>
      <c r="AH61" s="39" t="b">
        <v>0</v>
      </c>
      <c r="AI61" s="39" t="b">
        <v>0</v>
      </c>
      <c r="AJ61" s="39" t="b">
        <v>1</v>
      </c>
      <c r="AK61" s="39" t="b">
        <v>0</v>
      </c>
      <c r="AL61" s="39" t="b">
        <v>1</v>
      </c>
      <c r="AM61" s="39" t="b">
        <v>0</v>
      </c>
      <c r="AN61" s="39" t="b">
        <v>0</v>
      </c>
      <c r="AO61" s="39" t="b">
        <v>0</v>
      </c>
      <c r="AP61" s="39" t="b">
        <v>0</v>
      </c>
      <c r="AQ61" s="39" t="b">
        <v>0</v>
      </c>
      <c r="AR61" s="39" t="b">
        <v>0</v>
      </c>
      <c r="AS61" s="39" t="b">
        <v>0</v>
      </c>
      <c r="AT61" s="39" t="b">
        <v>0</v>
      </c>
      <c r="AU61" s="39" t="b">
        <v>1</v>
      </c>
      <c r="AV61" s="39" t="b">
        <v>0</v>
      </c>
      <c r="AW61" s="39" t="b">
        <v>0</v>
      </c>
      <c r="AX61" s="39" t="b">
        <v>0</v>
      </c>
      <c r="AY61" s="39" t="b">
        <v>1</v>
      </c>
      <c r="AZ61" s="39" t="b">
        <v>1</v>
      </c>
      <c r="BA61" s="39" t="b">
        <v>1</v>
      </c>
      <c r="BB61" s="39" t="b">
        <v>1</v>
      </c>
      <c r="BC61" s="39" t="b">
        <v>0</v>
      </c>
      <c r="BD61" s="39" t="b">
        <v>0</v>
      </c>
      <c r="BE61" s="39" t="b">
        <v>1</v>
      </c>
      <c r="BF61" s="39" t="b">
        <v>1</v>
      </c>
      <c r="BG61" s="39" t="b">
        <v>1</v>
      </c>
      <c r="BH61" s="39" t="b">
        <v>1</v>
      </c>
      <c r="BI61" s="39" t="b">
        <v>1</v>
      </c>
      <c r="BJ61" s="39" t="b">
        <v>1</v>
      </c>
      <c r="BK61" s="39" t="b">
        <v>1</v>
      </c>
      <c r="BL61" s="39" t="b">
        <v>1</v>
      </c>
      <c r="BM61" s="39" t="b">
        <v>1</v>
      </c>
      <c r="BN61" s="39" t="b">
        <v>1</v>
      </c>
      <c r="BO61" s="39" t="b">
        <v>1</v>
      </c>
      <c r="BP61" s="39" t="b">
        <v>1</v>
      </c>
      <c r="BQ61" s="39" t="b">
        <v>1</v>
      </c>
      <c r="BR61" s="39" t="b">
        <v>1</v>
      </c>
      <c r="BS61" s="39" t="b">
        <v>0</v>
      </c>
      <c r="BT61" s="40" t="b">
        <v>1</v>
      </c>
      <c r="BU61" s="40" t="b">
        <v>1</v>
      </c>
      <c r="BV61" s="40" t="b">
        <v>1</v>
      </c>
      <c r="BW61" s="40" t="b">
        <v>1</v>
      </c>
      <c r="BX61" s="19">
        <f t="shared" si="2"/>
        <v>31</v>
      </c>
      <c r="BY61" s="20">
        <f t="shared" si="3"/>
        <v>23</v>
      </c>
      <c r="BZ61" s="21">
        <f t="shared" si="4"/>
        <v>0.7419354839</v>
      </c>
      <c r="CA61" s="22" t="str">
        <f t="shared" si="5"/>
        <v>GOOD IN NOV</v>
      </c>
      <c r="CB61" s="19">
        <f t="shared" si="6"/>
        <v>37</v>
      </c>
      <c r="CC61" s="20">
        <f t="shared" si="7"/>
        <v>23</v>
      </c>
      <c r="CD61" s="23">
        <f t="shared" si="8"/>
        <v>0.6216216216</v>
      </c>
      <c r="CE61" s="24" t="str">
        <f t="shared" si="9"/>
        <v>Good in dec</v>
      </c>
      <c r="CF61" s="24" t="str">
        <f t="shared" si="10"/>
        <v>NOT CONNECT</v>
      </c>
    </row>
    <row r="62">
      <c r="A62" s="36" t="s">
        <v>133</v>
      </c>
      <c r="B62" s="37" t="s">
        <v>134</v>
      </c>
      <c r="C62" s="38">
        <v>9.51988931E9</v>
      </c>
      <c r="D62" s="36" t="s">
        <v>83</v>
      </c>
      <c r="E62" s="28">
        <f t="shared" si="11"/>
        <v>64</v>
      </c>
      <c r="F62" s="28">
        <f t="shared" si="12"/>
        <v>17</v>
      </c>
      <c r="G62" s="29">
        <f t="shared" si="13"/>
        <v>27</v>
      </c>
      <c r="H62" s="28">
        <f t="shared" si="14"/>
        <v>49</v>
      </c>
      <c r="I62" s="28">
        <f t="shared" si="15"/>
        <v>15</v>
      </c>
      <c r="J62" s="35">
        <f t="shared" si="16"/>
        <v>30.6122449</v>
      </c>
      <c r="K62" s="17"/>
      <c r="L62" s="39" t="b">
        <v>0</v>
      </c>
      <c r="M62" s="39" t="b">
        <v>0</v>
      </c>
      <c r="N62" s="39" t="b">
        <v>0</v>
      </c>
      <c r="O62" s="39" t="b">
        <v>0</v>
      </c>
      <c r="P62" s="39" t="b">
        <v>0</v>
      </c>
      <c r="Q62" s="39" t="b">
        <v>0</v>
      </c>
      <c r="R62" s="39" t="b">
        <v>0</v>
      </c>
      <c r="S62" s="39" t="b">
        <v>0</v>
      </c>
      <c r="T62" s="39" t="b">
        <v>0</v>
      </c>
      <c r="U62" s="39" t="b">
        <v>0</v>
      </c>
      <c r="V62" s="39" t="b">
        <v>0</v>
      </c>
      <c r="W62" s="39" t="b">
        <v>0</v>
      </c>
      <c r="X62" s="39" t="b">
        <v>0</v>
      </c>
      <c r="Y62" s="39" t="b">
        <v>0</v>
      </c>
      <c r="Z62" s="39" t="b">
        <v>0</v>
      </c>
      <c r="AA62" s="39" t="b">
        <v>0</v>
      </c>
      <c r="AB62" s="39" t="b">
        <v>0</v>
      </c>
      <c r="AC62" s="39" t="b">
        <v>0</v>
      </c>
      <c r="AD62" s="39" t="b">
        <v>0</v>
      </c>
      <c r="AE62" s="39" t="b">
        <v>0</v>
      </c>
      <c r="AF62" s="39" t="b">
        <v>0</v>
      </c>
      <c r="AG62" s="39" t="b">
        <v>0</v>
      </c>
      <c r="AH62" s="39" t="b">
        <v>0</v>
      </c>
      <c r="AI62" s="39" t="b">
        <v>0</v>
      </c>
      <c r="AJ62" s="39" t="b">
        <v>0</v>
      </c>
      <c r="AK62" s="39" t="b">
        <v>0</v>
      </c>
      <c r="AL62" s="39" t="b">
        <v>1</v>
      </c>
      <c r="AM62" s="39" t="b">
        <v>0</v>
      </c>
      <c r="AN62" s="39" t="b">
        <v>0</v>
      </c>
      <c r="AO62" s="39" t="b">
        <v>1</v>
      </c>
      <c r="AP62" s="39" t="b">
        <v>0</v>
      </c>
      <c r="AQ62" s="39" t="b">
        <v>0</v>
      </c>
      <c r="AR62" s="39" t="b">
        <v>0</v>
      </c>
      <c r="AS62" s="39" t="b">
        <v>1</v>
      </c>
      <c r="AT62" s="39" t="b">
        <v>0</v>
      </c>
      <c r="AU62" s="39" t="b">
        <v>0</v>
      </c>
      <c r="AV62" s="39" t="b">
        <v>0</v>
      </c>
      <c r="AW62" s="39" t="b">
        <v>0</v>
      </c>
      <c r="AX62" s="39" t="b">
        <v>1</v>
      </c>
      <c r="AY62" s="39" t="b">
        <v>1</v>
      </c>
      <c r="AZ62" s="39" t="b">
        <v>1</v>
      </c>
      <c r="BA62" s="39" t="b">
        <v>1</v>
      </c>
      <c r="BB62" s="39" t="b">
        <v>1</v>
      </c>
      <c r="BC62" s="39" t="b">
        <v>0</v>
      </c>
      <c r="BD62" s="39" t="b">
        <v>1</v>
      </c>
      <c r="BE62" s="39" t="b">
        <v>1</v>
      </c>
      <c r="BF62" s="39" t="b">
        <v>0</v>
      </c>
      <c r="BG62" s="39" t="b">
        <v>1</v>
      </c>
      <c r="BH62" s="39" t="b">
        <v>0</v>
      </c>
      <c r="BI62" s="39" t="b">
        <v>1</v>
      </c>
      <c r="BJ62" s="39" t="b">
        <v>1</v>
      </c>
      <c r="BK62" s="39" t="b">
        <v>0</v>
      </c>
      <c r="BL62" s="39" t="b">
        <v>0</v>
      </c>
      <c r="BM62" s="39" t="b">
        <v>0</v>
      </c>
      <c r="BN62" s="39" t="b">
        <v>1</v>
      </c>
      <c r="BO62" s="39" t="b">
        <v>1</v>
      </c>
      <c r="BP62" s="39" t="b">
        <v>0</v>
      </c>
      <c r="BQ62" s="39" t="b">
        <v>0</v>
      </c>
      <c r="BR62" s="39" t="b">
        <v>1</v>
      </c>
      <c r="BS62" s="39" t="b">
        <v>1</v>
      </c>
      <c r="BT62" s="40" t="b">
        <v>0</v>
      </c>
      <c r="BU62" s="40" t="b">
        <v>0</v>
      </c>
      <c r="BV62" s="40" t="b">
        <v>0</v>
      </c>
      <c r="BW62" s="40" t="b">
        <v>0</v>
      </c>
      <c r="BX62" s="19">
        <f t="shared" si="2"/>
        <v>31</v>
      </c>
      <c r="BY62" s="20">
        <f t="shared" si="3"/>
        <v>15</v>
      </c>
      <c r="BZ62" s="21">
        <f t="shared" si="4"/>
        <v>0.4838709677</v>
      </c>
      <c r="CA62" s="22" t="str">
        <f t="shared" si="5"/>
        <v>BAD IN NOV</v>
      </c>
      <c r="CB62" s="19">
        <f t="shared" si="6"/>
        <v>37</v>
      </c>
      <c r="CC62" s="20">
        <f t="shared" si="7"/>
        <v>16</v>
      </c>
      <c r="CD62" s="23">
        <f t="shared" si="8"/>
        <v>0.4324324324</v>
      </c>
      <c r="CE62" s="24" t="str">
        <f t="shared" si="9"/>
        <v>Good in dec</v>
      </c>
      <c r="CF62" s="24" t="str">
        <f t="shared" si="10"/>
        <v>NOT CONNECT</v>
      </c>
    </row>
    <row r="63">
      <c r="A63" s="36" t="s">
        <v>135</v>
      </c>
      <c r="B63" s="37" t="s">
        <v>136</v>
      </c>
      <c r="C63" s="38">
        <v>8.181978197E9</v>
      </c>
      <c r="D63" s="36" t="s">
        <v>83</v>
      </c>
      <c r="E63" s="28">
        <f t="shared" si="11"/>
        <v>64</v>
      </c>
      <c r="F63" s="28">
        <f t="shared" si="12"/>
        <v>29</v>
      </c>
      <c r="G63" s="29">
        <f t="shared" si="13"/>
        <v>45</v>
      </c>
      <c r="H63" s="28">
        <f t="shared" si="14"/>
        <v>49</v>
      </c>
      <c r="I63" s="28">
        <f t="shared" si="15"/>
        <v>26</v>
      </c>
      <c r="J63" s="35">
        <f t="shared" si="16"/>
        <v>53.06122449</v>
      </c>
      <c r="K63" s="17"/>
      <c r="L63" s="39" t="b">
        <v>0</v>
      </c>
      <c r="M63" s="39" t="b">
        <v>0</v>
      </c>
      <c r="N63" s="39" t="b">
        <v>0</v>
      </c>
      <c r="O63" s="39" t="b">
        <v>0</v>
      </c>
      <c r="P63" s="39" t="b">
        <v>0</v>
      </c>
      <c r="Q63" s="39" t="b">
        <v>0</v>
      </c>
      <c r="R63" s="39" t="b">
        <v>0</v>
      </c>
      <c r="S63" s="39" t="b">
        <v>1</v>
      </c>
      <c r="T63" s="39" t="b">
        <v>0</v>
      </c>
      <c r="U63" s="39" t="b">
        <v>0</v>
      </c>
      <c r="V63" s="39" t="b">
        <v>1</v>
      </c>
      <c r="W63" s="39" t="b">
        <v>1</v>
      </c>
      <c r="X63" s="39" t="b">
        <v>0</v>
      </c>
      <c r="Y63" s="39" t="b">
        <v>0</v>
      </c>
      <c r="Z63" s="39" t="b">
        <v>0</v>
      </c>
      <c r="AA63" s="39" t="b">
        <v>0</v>
      </c>
      <c r="AB63" s="39" t="b">
        <v>0</v>
      </c>
      <c r="AC63" s="39" t="b">
        <v>0</v>
      </c>
      <c r="AD63" s="39" t="b">
        <v>0</v>
      </c>
      <c r="AE63" s="39" t="b">
        <v>0</v>
      </c>
      <c r="AF63" s="39" t="b">
        <v>0</v>
      </c>
      <c r="AG63" s="39" t="b">
        <v>0</v>
      </c>
      <c r="AH63" s="39" t="b">
        <v>0</v>
      </c>
      <c r="AI63" s="39" t="b">
        <v>1</v>
      </c>
      <c r="AJ63" s="39" t="b">
        <v>1</v>
      </c>
      <c r="AK63" s="39" t="b">
        <v>1</v>
      </c>
      <c r="AL63" s="39" t="b">
        <v>1</v>
      </c>
      <c r="AM63" s="39" t="b">
        <v>1</v>
      </c>
      <c r="AN63" s="39" t="b">
        <v>0</v>
      </c>
      <c r="AO63" s="39" t="b">
        <v>0</v>
      </c>
      <c r="AP63" s="39" t="b">
        <v>1</v>
      </c>
      <c r="AQ63" s="39" t="b">
        <v>0</v>
      </c>
      <c r="AR63" s="39" t="b">
        <v>0</v>
      </c>
      <c r="AS63" s="39" t="b">
        <v>0</v>
      </c>
      <c r="AT63" s="39" t="b">
        <v>0</v>
      </c>
      <c r="AU63" s="39" t="b">
        <v>0</v>
      </c>
      <c r="AV63" s="39" t="b">
        <v>0</v>
      </c>
      <c r="AW63" s="39" t="b">
        <v>0</v>
      </c>
      <c r="AX63" s="39" t="b">
        <v>1</v>
      </c>
      <c r="AY63" s="39" t="b">
        <v>1</v>
      </c>
      <c r="AZ63" s="39" t="b">
        <v>1</v>
      </c>
      <c r="BA63" s="39" t="b">
        <v>1</v>
      </c>
      <c r="BB63" s="39" t="b">
        <v>0</v>
      </c>
      <c r="BC63" s="39" t="b">
        <v>0</v>
      </c>
      <c r="BD63" s="39" t="b">
        <v>0</v>
      </c>
      <c r="BE63" s="39" t="b">
        <v>0</v>
      </c>
      <c r="BF63" s="39" t="b">
        <v>0</v>
      </c>
      <c r="BG63" s="39" t="b">
        <v>1</v>
      </c>
      <c r="BH63" s="39" t="b">
        <v>1</v>
      </c>
      <c r="BI63" s="39" t="b">
        <v>0</v>
      </c>
      <c r="BJ63" s="39" t="b">
        <v>1</v>
      </c>
      <c r="BK63" s="39" t="b">
        <v>1</v>
      </c>
      <c r="BL63" s="39" t="b">
        <v>1</v>
      </c>
      <c r="BM63" s="39" t="b">
        <v>1</v>
      </c>
      <c r="BN63" s="39" t="b">
        <v>1</v>
      </c>
      <c r="BO63" s="39" t="b">
        <v>1</v>
      </c>
      <c r="BP63" s="39" t="b">
        <v>1</v>
      </c>
      <c r="BQ63" s="39" t="b">
        <v>1</v>
      </c>
      <c r="BR63" s="39" t="b">
        <v>1</v>
      </c>
      <c r="BS63" s="39" t="b">
        <v>1</v>
      </c>
      <c r="BT63" s="40" t="b">
        <v>1</v>
      </c>
      <c r="BU63" s="40" t="b">
        <v>1</v>
      </c>
      <c r="BV63" s="40" t="b">
        <v>1</v>
      </c>
      <c r="BW63" s="40" t="b">
        <v>1</v>
      </c>
      <c r="BX63" s="19">
        <f t="shared" si="2"/>
        <v>31</v>
      </c>
      <c r="BY63" s="20">
        <f t="shared" si="3"/>
        <v>20</v>
      </c>
      <c r="BZ63" s="21">
        <f t="shared" si="4"/>
        <v>0.6451612903</v>
      </c>
      <c r="CA63" s="22" t="str">
        <f t="shared" si="5"/>
        <v>GOOD IN NOV</v>
      </c>
      <c r="CB63" s="19">
        <f t="shared" si="6"/>
        <v>37</v>
      </c>
      <c r="CC63" s="20">
        <f t="shared" si="7"/>
        <v>22</v>
      </c>
      <c r="CD63" s="23">
        <f t="shared" si="8"/>
        <v>0.5945945946</v>
      </c>
      <c r="CE63" s="24" t="str">
        <f t="shared" si="9"/>
        <v>Good in dec</v>
      </c>
      <c r="CF63" s="24" t="str">
        <f t="shared" si="10"/>
        <v>NOT CONNECT</v>
      </c>
    </row>
    <row r="64">
      <c r="A64" s="36" t="s">
        <v>137</v>
      </c>
      <c r="B64" s="37" t="s">
        <v>138</v>
      </c>
      <c r="C64" s="38">
        <v>8.953305278E9</v>
      </c>
      <c r="D64" s="36" t="s">
        <v>83</v>
      </c>
      <c r="E64" s="28">
        <f t="shared" si="11"/>
        <v>64</v>
      </c>
      <c r="F64" s="28">
        <f t="shared" si="12"/>
        <v>39</v>
      </c>
      <c r="G64" s="29">
        <f t="shared" si="13"/>
        <v>61</v>
      </c>
      <c r="H64" s="28">
        <f t="shared" si="14"/>
        <v>49</v>
      </c>
      <c r="I64" s="28">
        <f t="shared" si="15"/>
        <v>34</v>
      </c>
      <c r="J64" s="35">
        <f t="shared" si="16"/>
        <v>69.3877551</v>
      </c>
      <c r="K64" s="17"/>
      <c r="L64" s="39" t="b">
        <v>0</v>
      </c>
      <c r="M64" s="39" t="b">
        <v>0</v>
      </c>
      <c r="N64" s="39" t="b">
        <v>1</v>
      </c>
      <c r="O64" s="39" t="b">
        <v>1</v>
      </c>
      <c r="P64" s="39" t="b">
        <v>0</v>
      </c>
      <c r="Q64" s="39" t="b">
        <v>1</v>
      </c>
      <c r="R64" s="39" t="b">
        <v>1</v>
      </c>
      <c r="S64" s="39" t="b">
        <v>1</v>
      </c>
      <c r="T64" s="39" t="b">
        <v>1</v>
      </c>
      <c r="U64" s="39" t="b">
        <v>0</v>
      </c>
      <c r="V64" s="39" t="b">
        <v>1</v>
      </c>
      <c r="W64" s="39" t="b">
        <v>1</v>
      </c>
      <c r="X64" s="39" t="b">
        <v>0</v>
      </c>
      <c r="Y64" s="39" t="b">
        <v>1</v>
      </c>
      <c r="Z64" s="39" t="b">
        <v>1</v>
      </c>
      <c r="AA64" s="39" t="b">
        <v>1</v>
      </c>
      <c r="AB64" s="39" t="b">
        <v>1</v>
      </c>
      <c r="AC64" s="39" t="b">
        <v>0</v>
      </c>
      <c r="AD64" s="39" t="b">
        <v>1</v>
      </c>
      <c r="AE64" s="39" t="b">
        <v>1</v>
      </c>
      <c r="AF64" s="39" t="b">
        <v>1</v>
      </c>
      <c r="AG64" s="39" t="b">
        <v>0</v>
      </c>
      <c r="AH64" s="39" t="b">
        <v>1</v>
      </c>
      <c r="AI64" s="39" t="b">
        <v>1</v>
      </c>
      <c r="AJ64" s="39" t="b">
        <v>1</v>
      </c>
      <c r="AK64" s="39" t="b">
        <v>1</v>
      </c>
      <c r="AL64" s="39" t="b">
        <v>1</v>
      </c>
      <c r="AM64" s="39" t="b">
        <v>1</v>
      </c>
      <c r="AN64" s="39" t="b">
        <v>0</v>
      </c>
      <c r="AO64" s="39" t="b">
        <v>1</v>
      </c>
      <c r="AP64" s="39" t="b">
        <v>0</v>
      </c>
      <c r="AQ64" s="39" t="b">
        <v>0</v>
      </c>
      <c r="AR64" s="39" t="b">
        <v>1</v>
      </c>
      <c r="AS64" s="39" t="b">
        <v>0</v>
      </c>
      <c r="AT64" s="39" t="b">
        <v>0</v>
      </c>
      <c r="AU64" s="39" t="b">
        <v>1</v>
      </c>
      <c r="AV64" s="39" t="b">
        <v>0</v>
      </c>
      <c r="AW64" s="39" t="b">
        <v>0</v>
      </c>
      <c r="AX64" s="39" t="b">
        <v>1</v>
      </c>
      <c r="AY64" s="39" t="b">
        <v>1</v>
      </c>
      <c r="AZ64" s="39" t="b">
        <v>1</v>
      </c>
      <c r="BA64" s="39" t="b">
        <v>1</v>
      </c>
      <c r="BB64" s="39" t="b">
        <v>1</v>
      </c>
      <c r="BC64" s="39" t="b">
        <v>0</v>
      </c>
      <c r="BD64" s="39" t="b">
        <v>1</v>
      </c>
      <c r="BE64" s="39" t="b">
        <v>1</v>
      </c>
      <c r="BF64" s="39" t="b">
        <v>0</v>
      </c>
      <c r="BG64" s="39" t="b">
        <v>0</v>
      </c>
      <c r="BH64" s="39" t="b">
        <v>0</v>
      </c>
      <c r="BI64" s="39" t="b">
        <v>1</v>
      </c>
      <c r="BJ64" s="39" t="b">
        <v>1</v>
      </c>
      <c r="BK64" s="39" t="b">
        <v>1</v>
      </c>
      <c r="BL64" s="39" t="b">
        <v>0</v>
      </c>
      <c r="BM64" s="39" t="b">
        <v>1</v>
      </c>
      <c r="BN64" s="39" t="b">
        <v>0</v>
      </c>
      <c r="BO64" s="39" t="b">
        <v>1</v>
      </c>
      <c r="BP64" s="39" t="b">
        <v>1</v>
      </c>
      <c r="BQ64" s="39" t="b">
        <v>1</v>
      </c>
      <c r="BR64" s="39" t="b">
        <v>0</v>
      </c>
      <c r="BS64" s="39" t="b">
        <v>1</v>
      </c>
      <c r="BT64" s="40" t="b">
        <v>0</v>
      </c>
      <c r="BU64" s="40" t="b">
        <v>0</v>
      </c>
      <c r="BV64" s="40" t="b">
        <v>0</v>
      </c>
      <c r="BW64" s="40" t="b">
        <v>0</v>
      </c>
      <c r="BX64" s="19">
        <f t="shared" si="2"/>
        <v>31</v>
      </c>
      <c r="BY64" s="20">
        <f t="shared" si="3"/>
        <v>16</v>
      </c>
      <c r="BZ64" s="21">
        <f t="shared" si="4"/>
        <v>0.5161290323</v>
      </c>
      <c r="CA64" s="22" t="str">
        <f t="shared" si="5"/>
        <v>BAD IN NOV</v>
      </c>
      <c r="CB64" s="19">
        <f t="shared" si="6"/>
        <v>37</v>
      </c>
      <c r="CC64" s="20">
        <f t="shared" si="7"/>
        <v>19</v>
      </c>
      <c r="CD64" s="23">
        <f t="shared" si="8"/>
        <v>0.5135135135</v>
      </c>
      <c r="CE64" s="24" t="str">
        <f t="shared" si="9"/>
        <v>Good in dec</v>
      </c>
      <c r="CF64" s="24" t="str">
        <f t="shared" si="10"/>
        <v>NOT CONNECT</v>
      </c>
    </row>
    <row r="65">
      <c r="A65" s="36" t="s">
        <v>139</v>
      </c>
      <c r="B65" s="37" t="s">
        <v>140</v>
      </c>
      <c r="C65" s="38">
        <v>7.310086414E9</v>
      </c>
      <c r="D65" s="36" t="s">
        <v>83</v>
      </c>
      <c r="E65" s="28">
        <f t="shared" si="11"/>
        <v>64</v>
      </c>
      <c r="F65" s="28">
        <f t="shared" si="12"/>
        <v>47</v>
      </c>
      <c r="G65" s="32">
        <f t="shared" si="13"/>
        <v>73</v>
      </c>
      <c r="H65" s="28">
        <f t="shared" si="14"/>
        <v>49</v>
      </c>
      <c r="I65" s="28">
        <f t="shared" si="15"/>
        <v>37</v>
      </c>
      <c r="J65" s="30">
        <f t="shared" si="16"/>
        <v>75.51020408</v>
      </c>
      <c r="K65" s="17"/>
      <c r="L65" s="39" t="b">
        <v>1</v>
      </c>
      <c r="M65" s="39" t="b">
        <v>1</v>
      </c>
      <c r="N65" s="39" t="b">
        <v>1</v>
      </c>
      <c r="O65" s="39" t="b">
        <v>1</v>
      </c>
      <c r="P65" s="39" t="b">
        <v>0</v>
      </c>
      <c r="Q65" s="39" t="b">
        <v>0</v>
      </c>
      <c r="R65" s="39" t="b">
        <v>0</v>
      </c>
      <c r="S65" s="39" t="b">
        <v>0</v>
      </c>
      <c r="T65" s="39" t="b">
        <v>0</v>
      </c>
      <c r="U65" s="39" t="b">
        <v>0</v>
      </c>
      <c r="V65" s="39" t="b">
        <v>1</v>
      </c>
      <c r="W65" s="39" t="b">
        <v>0</v>
      </c>
      <c r="X65" s="39" t="b">
        <v>0</v>
      </c>
      <c r="Y65" s="39" t="b">
        <v>0</v>
      </c>
      <c r="Z65" s="39" t="b">
        <v>1</v>
      </c>
      <c r="AA65" s="39" t="b">
        <v>1</v>
      </c>
      <c r="AB65" s="39" t="b">
        <v>1</v>
      </c>
      <c r="AC65" s="39" t="b">
        <v>0</v>
      </c>
      <c r="AD65" s="39" t="b">
        <v>0</v>
      </c>
      <c r="AE65" s="39" t="b">
        <v>1</v>
      </c>
      <c r="AF65" s="39" t="b">
        <v>1</v>
      </c>
      <c r="AG65" s="39" t="b">
        <v>1</v>
      </c>
      <c r="AH65" s="39" t="b">
        <v>1</v>
      </c>
      <c r="AI65" s="39" t="b">
        <v>1</v>
      </c>
      <c r="AJ65" s="39" t="b">
        <v>1</v>
      </c>
      <c r="AK65" s="39" t="b">
        <v>1</v>
      </c>
      <c r="AL65" s="39" t="b">
        <v>1</v>
      </c>
      <c r="AM65" s="39" t="b">
        <v>1</v>
      </c>
      <c r="AN65" s="39" t="b">
        <v>0</v>
      </c>
      <c r="AO65" s="39" t="b">
        <v>1</v>
      </c>
      <c r="AP65" s="39" t="b">
        <v>1</v>
      </c>
      <c r="AQ65" s="39" t="b">
        <v>1</v>
      </c>
      <c r="AR65" s="39" t="b">
        <v>1</v>
      </c>
      <c r="AS65" s="39" t="b">
        <v>1</v>
      </c>
      <c r="AT65" s="39" t="b">
        <v>1</v>
      </c>
      <c r="AU65" s="39" t="b">
        <v>1</v>
      </c>
      <c r="AV65" s="39" t="b">
        <v>0</v>
      </c>
      <c r="AW65" s="39" t="b">
        <v>0</v>
      </c>
      <c r="AX65" s="39" t="b">
        <v>0</v>
      </c>
      <c r="AY65" s="39" t="b">
        <v>1</v>
      </c>
      <c r="AZ65" s="39" t="b">
        <v>1</v>
      </c>
      <c r="BA65" s="39" t="b">
        <v>1</v>
      </c>
      <c r="BB65" s="39" t="b">
        <v>1</v>
      </c>
      <c r="BC65" s="39" t="b">
        <v>1</v>
      </c>
      <c r="BD65" s="39" t="b">
        <v>0</v>
      </c>
      <c r="BE65" s="39" t="b">
        <v>1</v>
      </c>
      <c r="BF65" s="39" t="b">
        <v>1</v>
      </c>
      <c r="BG65" s="39" t="b">
        <v>1</v>
      </c>
      <c r="BH65" s="39" t="b">
        <v>1</v>
      </c>
      <c r="BI65" s="39" t="b">
        <v>1</v>
      </c>
      <c r="BJ65" s="39" t="b">
        <v>1</v>
      </c>
      <c r="BK65" s="39" t="b">
        <v>1</v>
      </c>
      <c r="BL65" s="39" t="b">
        <v>1</v>
      </c>
      <c r="BM65" s="39" t="b">
        <v>1</v>
      </c>
      <c r="BN65" s="39" t="b">
        <v>1</v>
      </c>
      <c r="BO65" s="39" t="b">
        <v>1</v>
      </c>
      <c r="BP65" s="39" t="b">
        <v>1</v>
      </c>
      <c r="BQ65" s="39" t="b">
        <v>1</v>
      </c>
      <c r="BR65" s="39" t="b">
        <v>1</v>
      </c>
      <c r="BS65" s="39" t="b">
        <v>1</v>
      </c>
      <c r="BT65" s="40" t="b">
        <v>0</v>
      </c>
      <c r="BU65" s="40" t="b">
        <v>1</v>
      </c>
      <c r="BV65" s="40" t="b">
        <v>1</v>
      </c>
      <c r="BW65" s="40" t="b">
        <v>1</v>
      </c>
      <c r="BX65" s="19">
        <f t="shared" si="2"/>
        <v>31</v>
      </c>
      <c r="BY65" s="20">
        <f t="shared" si="3"/>
        <v>26</v>
      </c>
      <c r="BZ65" s="21">
        <f t="shared" si="4"/>
        <v>0.8387096774</v>
      </c>
      <c r="CA65" s="22" t="str">
        <f t="shared" si="5"/>
        <v>GOOD IN NOV</v>
      </c>
      <c r="CB65" s="19">
        <f t="shared" si="6"/>
        <v>37</v>
      </c>
      <c r="CC65" s="20">
        <f t="shared" si="7"/>
        <v>31</v>
      </c>
      <c r="CD65" s="23">
        <f t="shared" si="8"/>
        <v>0.8378378378</v>
      </c>
      <c r="CE65" s="24" t="str">
        <f t="shared" si="9"/>
        <v>Good in dec</v>
      </c>
      <c r="CF65" s="24" t="str">
        <f t="shared" si="10"/>
        <v>NOT CONNECT</v>
      </c>
    </row>
    <row r="66">
      <c r="A66" s="36" t="s">
        <v>141</v>
      </c>
      <c r="B66" s="37" t="s">
        <v>142</v>
      </c>
      <c r="C66" s="38">
        <v>9.648787506E9</v>
      </c>
      <c r="D66" s="36" t="s">
        <v>83</v>
      </c>
      <c r="E66" s="28">
        <f t="shared" si="11"/>
        <v>64</v>
      </c>
      <c r="F66" s="28">
        <f t="shared" si="12"/>
        <v>13</v>
      </c>
      <c r="G66" s="29">
        <f t="shared" si="13"/>
        <v>20</v>
      </c>
      <c r="H66" s="28">
        <f t="shared" si="14"/>
        <v>49</v>
      </c>
      <c r="I66" s="28">
        <f t="shared" si="15"/>
        <v>12</v>
      </c>
      <c r="J66" s="35">
        <f t="shared" si="16"/>
        <v>24.48979592</v>
      </c>
      <c r="K66" s="17"/>
      <c r="L66" s="39" t="b">
        <v>0</v>
      </c>
      <c r="M66" s="39" t="b">
        <v>0</v>
      </c>
      <c r="N66" s="39" t="b">
        <v>0</v>
      </c>
      <c r="O66" s="39" t="b">
        <v>0</v>
      </c>
      <c r="P66" s="39" t="b">
        <v>0</v>
      </c>
      <c r="Q66" s="39" t="b">
        <v>0</v>
      </c>
      <c r="R66" s="39" t="b">
        <v>0</v>
      </c>
      <c r="S66" s="39" t="b">
        <v>0</v>
      </c>
      <c r="T66" s="39" t="b">
        <v>0</v>
      </c>
      <c r="U66" s="39" t="b">
        <v>0</v>
      </c>
      <c r="V66" s="39" t="b">
        <v>0</v>
      </c>
      <c r="W66" s="39" t="b">
        <v>0</v>
      </c>
      <c r="X66" s="39" t="b">
        <v>0</v>
      </c>
      <c r="Y66" s="39" t="b">
        <v>0</v>
      </c>
      <c r="Z66" s="39" t="b">
        <v>0</v>
      </c>
      <c r="AA66" s="39" t="b">
        <v>0</v>
      </c>
      <c r="AB66" s="39" t="b">
        <v>0</v>
      </c>
      <c r="AC66" s="39" t="b">
        <v>0</v>
      </c>
      <c r="AD66" s="39" t="b">
        <v>0</v>
      </c>
      <c r="AE66" s="39" t="b">
        <v>0</v>
      </c>
      <c r="AF66" s="39" t="b">
        <v>0</v>
      </c>
      <c r="AG66" s="39" t="b">
        <v>0</v>
      </c>
      <c r="AH66" s="39" t="b">
        <v>0</v>
      </c>
      <c r="AI66" s="39" t="b">
        <v>0</v>
      </c>
      <c r="AJ66" s="39" t="b">
        <v>0</v>
      </c>
      <c r="AK66" s="39" t="b">
        <v>1</v>
      </c>
      <c r="AL66" s="39" t="b">
        <v>1</v>
      </c>
      <c r="AM66" s="39" t="b">
        <v>0</v>
      </c>
      <c r="AN66" s="39" t="b">
        <v>0</v>
      </c>
      <c r="AO66" s="39" t="b">
        <v>0</v>
      </c>
      <c r="AP66" s="39" t="b">
        <v>0</v>
      </c>
      <c r="AQ66" s="39" t="b">
        <v>0</v>
      </c>
      <c r="AR66" s="39" t="b">
        <v>0</v>
      </c>
      <c r="AS66" s="39" t="b">
        <v>0</v>
      </c>
      <c r="AT66" s="39" t="b">
        <v>0</v>
      </c>
      <c r="AU66" s="39" t="b">
        <v>0</v>
      </c>
      <c r="AV66" s="39" t="b">
        <v>0</v>
      </c>
      <c r="AW66" s="39" t="b">
        <v>0</v>
      </c>
      <c r="AX66" s="39" t="b">
        <v>0</v>
      </c>
      <c r="AY66" s="39" t="b">
        <v>1</v>
      </c>
      <c r="AZ66" s="39" t="b">
        <v>0</v>
      </c>
      <c r="BA66" s="39" t="b">
        <v>0</v>
      </c>
      <c r="BB66" s="39" t="b">
        <v>0</v>
      </c>
      <c r="BC66" s="39" t="b">
        <v>0</v>
      </c>
      <c r="BD66" s="39" t="b">
        <v>0</v>
      </c>
      <c r="BE66" s="39" t="b">
        <v>0</v>
      </c>
      <c r="BF66" s="39" t="b">
        <v>0</v>
      </c>
      <c r="BG66" s="39" t="b">
        <v>1</v>
      </c>
      <c r="BH66" s="39" t="b">
        <v>0</v>
      </c>
      <c r="BI66" s="39" t="b">
        <v>0</v>
      </c>
      <c r="BJ66" s="39" t="b">
        <v>0</v>
      </c>
      <c r="BK66" s="39" t="b">
        <v>0</v>
      </c>
      <c r="BL66" s="39" t="b">
        <v>1</v>
      </c>
      <c r="BM66" s="39" t="b">
        <v>1</v>
      </c>
      <c r="BN66" s="39" t="b">
        <v>1</v>
      </c>
      <c r="BO66" s="39" t="b">
        <v>1</v>
      </c>
      <c r="BP66" s="39" t="b">
        <v>1</v>
      </c>
      <c r="BQ66" s="39" t="b">
        <v>1</v>
      </c>
      <c r="BR66" s="39" t="b">
        <v>0</v>
      </c>
      <c r="BS66" s="39" t="b">
        <v>0</v>
      </c>
      <c r="BT66" s="40" t="b">
        <v>0</v>
      </c>
      <c r="BU66" s="40" t="b">
        <v>1</v>
      </c>
      <c r="BV66" s="40" t="b">
        <v>1</v>
      </c>
      <c r="BW66" s="40" t="b">
        <v>1</v>
      </c>
      <c r="BX66" s="19">
        <f t="shared" si="2"/>
        <v>31</v>
      </c>
      <c r="BY66" s="20">
        <f t="shared" si="3"/>
        <v>11</v>
      </c>
      <c r="BZ66" s="21">
        <f t="shared" si="4"/>
        <v>0.3548387097</v>
      </c>
      <c r="CA66" s="22" t="str">
        <f t="shared" si="5"/>
        <v>BAD IN NOV</v>
      </c>
      <c r="CB66" s="19">
        <f t="shared" si="6"/>
        <v>37</v>
      </c>
      <c r="CC66" s="20">
        <f t="shared" si="7"/>
        <v>11</v>
      </c>
      <c r="CD66" s="23">
        <f t="shared" si="8"/>
        <v>0.2972972973</v>
      </c>
      <c r="CE66" s="24" t="str">
        <f t="shared" si="9"/>
        <v>Bad in dec</v>
      </c>
      <c r="CF66" s="24" t="str">
        <f t="shared" si="10"/>
        <v>NOT CONNECT</v>
      </c>
    </row>
    <row r="67">
      <c r="A67" s="41" t="s">
        <v>143</v>
      </c>
      <c r="B67" s="37" t="s">
        <v>144</v>
      </c>
      <c r="C67" s="38">
        <v>9.670651797E9</v>
      </c>
      <c r="D67" s="36" t="s">
        <v>83</v>
      </c>
      <c r="E67" s="28">
        <f t="shared" si="11"/>
        <v>64</v>
      </c>
      <c r="F67" s="28">
        <f t="shared" si="12"/>
        <v>27</v>
      </c>
      <c r="G67" s="29">
        <f t="shared" si="13"/>
        <v>42</v>
      </c>
      <c r="H67" s="28">
        <f t="shared" si="14"/>
        <v>49</v>
      </c>
      <c r="I67" s="28">
        <f t="shared" si="15"/>
        <v>21</v>
      </c>
      <c r="J67" s="35">
        <f t="shared" si="16"/>
        <v>42.85714286</v>
      </c>
      <c r="K67" s="17"/>
      <c r="L67" s="39" t="b">
        <v>0</v>
      </c>
      <c r="M67" s="39" t="b">
        <v>0</v>
      </c>
      <c r="N67" s="39" t="b">
        <v>0</v>
      </c>
      <c r="O67" s="39" t="b">
        <v>0</v>
      </c>
      <c r="P67" s="39" t="b">
        <v>0</v>
      </c>
      <c r="Q67" s="39" t="b">
        <v>0</v>
      </c>
      <c r="R67" s="39" t="b">
        <v>0</v>
      </c>
      <c r="S67" s="39" t="b">
        <v>0</v>
      </c>
      <c r="T67" s="39" t="b">
        <v>0</v>
      </c>
      <c r="U67" s="39" t="b">
        <v>0</v>
      </c>
      <c r="V67" s="39" t="b">
        <v>0</v>
      </c>
      <c r="W67" s="39" t="b">
        <v>0</v>
      </c>
      <c r="X67" s="39" t="b">
        <v>0</v>
      </c>
      <c r="Y67" s="39" t="b">
        <v>0</v>
      </c>
      <c r="Z67" s="39" t="b">
        <v>0</v>
      </c>
      <c r="AA67" s="39" t="b">
        <v>0</v>
      </c>
      <c r="AB67" s="39" t="b">
        <v>0</v>
      </c>
      <c r="AC67" s="39" t="b">
        <v>0</v>
      </c>
      <c r="AD67" s="39" t="b">
        <v>0</v>
      </c>
      <c r="AE67" s="39" t="b">
        <v>0</v>
      </c>
      <c r="AF67" s="39" t="b">
        <v>0</v>
      </c>
      <c r="AG67" s="39" t="b">
        <v>0</v>
      </c>
      <c r="AH67" s="39" t="b">
        <v>0</v>
      </c>
      <c r="AI67" s="39" t="b">
        <v>1</v>
      </c>
      <c r="AJ67" s="39" t="b">
        <v>0</v>
      </c>
      <c r="AK67" s="39" t="b">
        <v>0</v>
      </c>
      <c r="AL67" s="39" t="b">
        <v>1</v>
      </c>
      <c r="AM67" s="39" t="b">
        <v>0</v>
      </c>
      <c r="AN67" s="39" t="b">
        <v>0</v>
      </c>
      <c r="AO67" s="39" t="b">
        <v>1</v>
      </c>
      <c r="AP67" s="39" t="b">
        <v>1</v>
      </c>
      <c r="AQ67" s="39" t="b">
        <v>1</v>
      </c>
      <c r="AR67" s="39" t="b">
        <v>0</v>
      </c>
      <c r="AS67" s="39" t="b">
        <v>1</v>
      </c>
      <c r="AT67" s="39" t="b">
        <v>1</v>
      </c>
      <c r="AU67" s="39" t="b">
        <v>0</v>
      </c>
      <c r="AV67" s="39" t="b">
        <v>1</v>
      </c>
      <c r="AW67" s="39" t="b">
        <v>0</v>
      </c>
      <c r="AX67" s="39" t="b">
        <v>0</v>
      </c>
      <c r="AY67" s="39" t="b">
        <v>1</v>
      </c>
      <c r="AZ67" s="39" t="b">
        <v>0</v>
      </c>
      <c r="BA67" s="39" t="b">
        <v>0</v>
      </c>
      <c r="BB67" s="39" t="b">
        <v>1</v>
      </c>
      <c r="BC67" s="39" t="b">
        <v>0</v>
      </c>
      <c r="BD67" s="39" t="b">
        <v>1</v>
      </c>
      <c r="BE67" s="39" t="b">
        <v>1</v>
      </c>
      <c r="BF67" s="39" t="b">
        <v>1</v>
      </c>
      <c r="BG67" s="39" t="b">
        <v>1</v>
      </c>
      <c r="BH67" s="39" t="b">
        <v>1</v>
      </c>
      <c r="BI67" s="39" t="b">
        <v>1</v>
      </c>
      <c r="BJ67" s="39" t="b">
        <v>1</v>
      </c>
      <c r="BK67" s="39" t="b">
        <v>1</v>
      </c>
      <c r="BL67" s="39" t="b">
        <v>1</v>
      </c>
      <c r="BM67" s="39" t="b">
        <v>1</v>
      </c>
      <c r="BN67" s="39" t="b">
        <v>1</v>
      </c>
      <c r="BO67" s="39" t="b">
        <v>1</v>
      </c>
      <c r="BP67" s="39" t="b">
        <v>1</v>
      </c>
      <c r="BQ67" s="39" t="b">
        <v>0</v>
      </c>
      <c r="BR67" s="39" t="b">
        <v>0</v>
      </c>
      <c r="BS67" s="39" t="b">
        <v>1</v>
      </c>
      <c r="BT67" s="40" t="b">
        <v>0</v>
      </c>
      <c r="BU67" s="40" t="b">
        <v>1</v>
      </c>
      <c r="BV67" s="40" t="b">
        <v>1</v>
      </c>
      <c r="BW67" s="40" t="b">
        <v>1</v>
      </c>
      <c r="BX67" s="19">
        <f t="shared" si="2"/>
        <v>31</v>
      </c>
      <c r="BY67" s="20">
        <f t="shared" si="3"/>
        <v>22</v>
      </c>
      <c r="BZ67" s="21">
        <f t="shared" si="4"/>
        <v>0.7096774194</v>
      </c>
      <c r="CA67" s="22" t="str">
        <f t="shared" si="5"/>
        <v>GOOD IN NOV</v>
      </c>
      <c r="CB67" s="19">
        <f t="shared" si="6"/>
        <v>37</v>
      </c>
      <c r="CC67" s="20">
        <f t="shared" si="7"/>
        <v>25</v>
      </c>
      <c r="CD67" s="23">
        <f t="shared" si="8"/>
        <v>0.6756756757</v>
      </c>
      <c r="CE67" s="24" t="str">
        <f t="shared" si="9"/>
        <v>Good in dec</v>
      </c>
      <c r="CF67" s="24" t="str">
        <f t="shared" si="10"/>
        <v>NOT CONNECT</v>
      </c>
    </row>
    <row r="68">
      <c r="A68" s="36" t="s">
        <v>145</v>
      </c>
      <c r="B68" s="37" t="s">
        <v>146</v>
      </c>
      <c r="C68" s="38">
        <v>9.36983898E9</v>
      </c>
      <c r="D68" s="36" t="s">
        <v>83</v>
      </c>
      <c r="E68" s="28">
        <f t="shared" si="11"/>
        <v>64</v>
      </c>
      <c r="F68" s="28">
        <f t="shared" si="12"/>
        <v>23</v>
      </c>
      <c r="G68" s="29">
        <f t="shared" si="13"/>
        <v>36</v>
      </c>
      <c r="H68" s="28">
        <f t="shared" si="14"/>
        <v>49</v>
      </c>
      <c r="I68" s="28">
        <f t="shared" si="15"/>
        <v>20</v>
      </c>
      <c r="J68" s="35">
        <f t="shared" si="16"/>
        <v>40.81632653</v>
      </c>
      <c r="K68" s="17"/>
      <c r="L68" s="39" t="b">
        <v>0</v>
      </c>
      <c r="M68" s="39" t="b">
        <v>0</v>
      </c>
      <c r="N68" s="39" t="b">
        <v>1</v>
      </c>
      <c r="O68" s="39" t="b">
        <v>1</v>
      </c>
      <c r="P68" s="39" t="b">
        <v>0</v>
      </c>
      <c r="Q68" s="39" t="b">
        <v>1</v>
      </c>
      <c r="R68" s="39" t="b">
        <v>1</v>
      </c>
      <c r="S68" s="39" t="b">
        <v>1</v>
      </c>
      <c r="T68" s="39" t="b">
        <v>0</v>
      </c>
      <c r="U68" s="39" t="b">
        <v>0</v>
      </c>
      <c r="V68" s="39" t="b">
        <v>1</v>
      </c>
      <c r="W68" s="39" t="b">
        <v>0</v>
      </c>
      <c r="X68" s="39" t="b">
        <v>0</v>
      </c>
      <c r="Y68" s="39" t="b">
        <v>0</v>
      </c>
      <c r="Z68" s="39" t="b">
        <v>1</v>
      </c>
      <c r="AA68" s="39" t="b">
        <v>1</v>
      </c>
      <c r="AB68" s="39" t="b">
        <v>1</v>
      </c>
      <c r="AC68" s="39" t="b">
        <v>0</v>
      </c>
      <c r="AD68" s="39" t="b">
        <v>0</v>
      </c>
      <c r="AE68" s="39" t="b">
        <v>0</v>
      </c>
      <c r="AF68" s="39" t="b">
        <v>1</v>
      </c>
      <c r="AG68" s="39" t="b">
        <v>0</v>
      </c>
      <c r="AH68" s="39" t="b">
        <v>1</v>
      </c>
      <c r="AI68" s="39" t="b">
        <v>0</v>
      </c>
      <c r="AJ68" s="39" t="b">
        <v>0</v>
      </c>
      <c r="AK68" s="39" t="b">
        <v>0</v>
      </c>
      <c r="AL68" s="39" t="b">
        <v>1</v>
      </c>
      <c r="AM68" s="39" t="b">
        <v>0</v>
      </c>
      <c r="AN68" s="39" t="b">
        <v>0</v>
      </c>
      <c r="AO68" s="39" t="b">
        <v>0</v>
      </c>
      <c r="AP68" s="39" t="b">
        <v>0</v>
      </c>
      <c r="AQ68" s="39" t="b">
        <v>0</v>
      </c>
      <c r="AR68" s="39" t="b">
        <v>0</v>
      </c>
      <c r="AS68" s="39" t="b">
        <v>1</v>
      </c>
      <c r="AT68" s="39" t="b">
        <v>1</v>
      </c>
      <c r="AU68" s="39" t="b">
        <v>1</v>
      </c>
      <c r="AV68" s="39" t="b">
        <v>0</v>
      </c>
      <c r="AW68" s="39" t="b">
        <v>0</v>
      </c>
      <c r="AX68" s="39" t="b">
        <v>1</v>
      </c>
      <c r="AY68" s="39" t="b">
        <v>1</v>
      </c>
      <c r="AZ68" s="39" t="b">
        <v>0</v>
      </c>
      <c r="BA68" s="39" t="b">
        <v>0</v>
      </c>
      <c r="BB68" s="39" t="b">
        <v>0</v>
      </c>
      <c r="BC68" s="39" t="b">
        <v>0</v>
      </c>
      <c r="BD68" s="39" t="b">
        <v>0</v>
      </c>
      <c r="BE68" s="39" t="b">
        <v>0</v>
      </c>
      <c r="BF68" s="39" t="b">
        <v>0</v>
      </c>
      <c r="BG68" s="39" t="b">
        <v>0</v>
      </c>
      <c r="BH68" s="39" t="b">
        <v>1</v>
      </c>
      <c r="BI68" s="39" t="b">
        <v>0</v>
      </c>
      <c r="BJ68" s="39" t="b">
        <v>0</v>
      </c>
      <c r="BK68" s="39" t="b">
        <v>0</v>
      </c>
      <c r="BL68" s="39" t="b">
        <v>1</v>
      </c>
      <c r="BM68" s="39" t="b">
        <v>1</v>
      </c>
      <c r="BN68" s="39" t="b">
        <v>1</v>
      </c>
      <c r="BO68" s="39" t="b">
        <v>0</v>
      </c>
      <c r="BP68" s="39" t="b">
        <v>1</v>
      </c>
      <c r="BQ68" s="39" t="b">
        <v>0</v>
      </c>
      <c r="BR68" s="39" t="b">
        <v>0</v>
      </c>
      <c r="BS68" s="39" t="b">
        <v>1</v>
      </c>
      <c r="BT68" s="40" t="b">
        <v>0</v>
      </c>
      <c r="BU68" s="40" t="b">
        <v>0</v>
      </c>
      <c r="BV68" s="40" t="b">
        <v>0</v>
      </c>
      <c r="BW68" s="40" t="b">
        <v>0</v>
      </c>
      <c r="BX68" s="19">
        <f t="shared" si="2"/>
        <v>31</v>
      </c>
      <c r="BY68" s="20">
        <f t="shared" si="3"/>
        <v>11</v>
      </c>
      <c r="BZ68" s="21">
        <f t="shared" si="4"/>
        <v>0.3548387097</v>
      </c>
      <c r="CA68" s="22" t="str">
        <f t="shared" si="5"/>
        <v>BAD IN NOV</v>
      </c>
      <c r="CB68" s="19">
        <f t="shared" si="6"/>
        <v>37</v>
      </c>
      <c r="CC68" s="20">
        <f t="shared" si="7"/>
        <v>11</v>
      </c>
      <c r="CD68" s="23">
        <f t="shared" si="8"/>
        <v>0.2972972973</v>
      </c>
      <c r="CE68" s="24" t="str">
        <f t="shared" si="9"/>
        <v>Bad in dec</v>
      </c>
      <c r="CF68" s="24" t="str">
        <f t="shared" si="10"/>
        <v>NOT CONNECT</v>
      </c>
    </row>
    <row r="69">
      <c r="A69" s="36" t="s">
        <v>147</v>
      </c>
      <c r="B69" s="37" t="s">
        <v>148</v>
      </c>
      <c r="C69" s="38">
        <v>9.839225759E9</v>
      </c>
      <c r="D69" s="36" t="s">
        <v>83</v>
      </c>
      <c r="E69" s="28">
        <f t="shared" si="11"/>
        <v>64</v>
      </c>
      <c r="F69" s="28">
        <f t="shared" si="12"/>
        <v>37</v>
      </c>
      <c r="G69" s="29">
        <f t="shared" si="13"/>
        <v>58</v>
      </c>
      <c r="H69" s="28">
        <f t="shared" si="14"/>
        <v>49</v>
      </c>
      <c r="I69" s="28">
        <f t="shared" si="15"/>
        <v>30</v>
      </c>
      <c r="J69" s="35">
        <f t="shared" si="16"/>
        <v>61.2244898</v>
      </c>
      <c r="K69" s="17"/>
      <c r="L69" s="39" t="b">
        <v>0</v>
      </c>
      <c r="M69" s="39" t="b">
        <v>1</v>
      </c>
      <c r="N69" s="39" t="b">
        <v>1</v>
      </c>
      <c r="O69" s="39" t="b">
        <v>1</v>
      </c>
      <c r="P69" s="39" t="b">
        <v>1</v>
      </c>
      <c r="Q69" s="39" t="b">
        <v>1</v>
      </c>
      <c r="R69" s="39" t="b">
        <v>1</v>
      </c>
      <c r="S69" s="39" t="b">
        <v>1</v>
      </c>
      <c r="T69" s="39" t="b">
        <v>1</v>
      </c>
      <c r="U69" s="39" t="b">
        <v>1</v>
      </c>
      <c r="V69" s="39" t="b">
        <v>1</v>
      </c>
      <c r="W69" s="39" t="b">
        <v>0</v>
      </c>
      <c r="X69" s="39" t="b">
        <v>0</v>
      </c>
      <c r="Y69" s="39" t="b">
        <v>0</v>
      </c>
      <c r="Z69" s="39" t="b">
        <v>0</v>
      </c>
      <c r="AA69" s="39" t="b">
        <v>0</v>
      </c>
      <c r="AB69" s="39" t="b">
        <v>0</v>
      </c>
      <c r="AC69" s="39" t="b">
        <v>0</v>
      </c>
      <c r="AD69" s="39" t="b">
        <v>1</v>
      </c>
      <c r="AE69" s="39" t="b">
        <v>1</v>
      </c>
      <c r="AF69" s="39" t="b">
        <v>0</v>
      </c>
      <c r="AG69" s="39" t="b">
        <v>0</v>
      </c>
      <c r="AH69" s="39" t="b">
        <v>0</v>
      </c>
      <c r="AI69" s="39" t="b">
        <v>0</v>
      </c>
      <c r="AJ69" s="39" t="b">
        <v>0</v>
      </c>
      <c r="AK69" s="39" t="b">
        <v>0</v>
      </c>
      <c r="AL69" s="39" t="b">
        <v>1</v>
      </c>
      <c r="AM69" s="39" t="b">
        <v>0</v>
      </c>
      <c r="AN69" s="39" t="b">
        <v>0</v>
      </c>
      <c r="AO69" s="39" t="b">
        <v>0</v>
      </c>
      <c r="AP69" s="39" t="b">
        <v>1</v>
      </c>
      <c r="AQ69" s="39" t="b">
        <v>0</v>
      </c>
      <c r="AR69" s="39" t="b">
        <v>1</v>
      </c>
      <c r="AS69" s="39" t="b">
        <v>1</v>
      </c>
      <c r="AT69" s="39" t="b">
        <v>1</v>
      </c>
      <c r="AU69" s="39" t="b">
        <v>1</v>
      </c>
      <c r="AV69" s="39" t="b">
        <v>1</v>
      </c>
      <c r="AW69" s="39" t="b">
        <v>1</v>
      </c>
      <c r="AX69" s="39" t="b">
        <v>1</v>
      </c>
      <c r="AY69" s="39" t="b">
        <v>1</v>
      </c>
      <c r="AZ69" s="39" t="b">
        <v>1</v>
      </c>
      <c r="BA69" s="39" t="b">
        <v>1</v>
      </c>
      <c r="BB69" s="39" t="b">
        <v>1</v>
      </c>
      <c r="BC69" s="39" t="b">
        <v>1</v>
      </c>
      <c r="BD69" s="39" t="b">
        <v>1</v>
      </c>
      <c r="BE69" s="39" t="b">
        <v>1</v>
      </c>
      <c r="BF69" s="39" t="b">
        <v>0</v>
      </c>
      <c r="BG69" s="39" t="b">
        <v>0</v>
      </c>
      <c r="BH69" s="39" t="b">
        <v>1</v>
      </c>
      <c r="BI69" s="39" t="b">
        <v>1</v>
      </c>
      <c r="BJ69" s="39" t="b">
        <v>1</v>
      </c>
      <c r="BK69" s="39" t="b">
        <v>0</v>
      </c>
      <c r="BL69" s="39" t="b">
        <v>0</v>
      </c>
      <c r="BM69" s="39" t="b">
        <v>0</v>
      </c>
      <c r="BN69" s="39" t="b">
        <v>0</v>
      </c>
      <c r="BO69" s="39" t="b">
        <v>0</v>
      </c>
      <c r="BP69" s="39" t="b">
        <v>1</v>
      </c>
      <c r="BQ69" s="39" t="b">
        <v>1</v>
      </c>
      <c r="BR69" s="39" t="b">
        <v>1</v>
      </c>
      <c r="BS69" s="39" t="b">
        <v>1</v>
      </c>
      <c r="BT69" s="40" t="b">
        <v>0</v>
      </c>
      <c r="BU69" s="40" t="b">
        <v>0</v>
      </c>
      <c r="BV69" s="40" t="b">
        <v>1</v>
      </c>
      <c r="BW69" s="40" t="b">
        <v>1</v>
      </c>
      <c r="BX69" s="19">
        <f t="shared" si="2"/>
        <v>31</v>
      </c>
      <c r="BY69" s="20">
        <f t="shared" si="3"/>
        <v>22</v>
      </c>
      <c r="BZ69" s="21">
        <f t="shared" si="4"/>
        <v>0.7096774194</v>
      </c>
      <c r="CA69" s="22" t="str">
        <f t="shared" si="5"/>
        <v>GOOD IN NOV</v>
      </c>
      <c r="CB69" s="19">
        <f t="shared" si="6"/>
        <v>37</v>
      </c>
      <c r="CC69" s="20">
        <f t="shared" si="7"/>
        <v>24</v>
      </c>
      <c r="CD69" s="23">
        <f t="shared" si="8"/>
        <v>0.6486486486</v>
      </c>
      <c r="CE69" s="24" t="str">
        <f t="shared" si="9"/>
        <v>Good in dec</v>
      </c>
      <c r="CF69" s="24" t="str">
        <f t="shared" si="10"/>
        <v>NOT CONNECT</v>
      </c>
    </row>
    <row r="70">
      <c r="A70" s="36" t="s">
        <v>149</v>
      </c>
      <c r="B70" s="37" t="s">
        <v>150</v>
      </c>
      <c r="C70" s="38">
        <v>7.309420744E9</v>
      </c>
      <c r="D70" s="36" t="s">
        <v>83</v>
      </c>
      <c r="E70" s="28">
        <f t="shared" si="11"/>
        <v>64</v>
      </c>
      <c r="F70" s="28">
        <f t="shared" si="12"/>
        <v>46</v>
      </c>
      <c r="G70" s="32">
        <f t="shared" si="13"/>
        <v>72</v>
      </c>
      <c r="H70" s="28">
        <f t="shared" si="14"/>
        <v>49</v>
      </c>
      <c r="I70" s="28">
        <f t="shared" si="15"/>
        <v>39</v>
      </c>
      <c r="J70" s="30">
        <f t="shared" si="16"/>
        <v>79.59183673</v>
      </c>
      <c r="K70" s="17"/>
      <c r="L70" s="39" t="b">
        <v>1</v>
      </c>
      <c r="M70" s="39" t="b">
        <v>1</v>
      </c>
      <c r="N70" s="39" t="b">
        <v>1</v>
      </c>
      <c r="O70" s="39" t="b">
        <v>0</v>
      </c>
      <c r="P70" s="39" t="b">
        <v>0</v>
      </c>
      <c r="Q70" s="39" t="b">
        <v>1</v>
      </c>
      <c r="R70" s="39" t="b">
        <v>0</v>
      </c>
      <c r="S70" s="39" t="b">
        <v>0</v>
      </c>
      <c r="T70" s="39" t="b">
        <v>0</v>
      </c>
      <c r="U70" s="39" t="b">
        <v>1</v>
      </c>
      <c r="V70" s="39" t="b">
        <v>1</v>
      </c>
      <c r="W70" s="39" t="b">
        <v>1</v>
      </c>
      <c r="X70" s="39" t="b">
        <v>0</v>
      </c>
      <c r="Y70" s="39" t="b">
        <v>1</v>
      </c>
      <c r="Z70" s="39" t="b">
        <v>1</v>
      </c>
      <c r="AA70" s="39" t="b">
        <v>1</v>
      </c>
      <c r="AB70" s="39" t="b">
        <v>1</v>
      </c>
      <c r="AC70" s="39" t="b">
        <v>1</v>
      </c>
      <c r="AD70" s="39" t="b">
        <v>0</v>
      </c>
      <c r="AE70" s="39" t="b">
        <v>1</v>
      </c>
      <c r="AF70" s="39" t="b">
        <v>1</v>
      </c>
      <c r="AG70" s="39" t="b">
        <v>0</v>
      </c>
      <c r="AH70" s="39" t="b">
        <v>1</v>
      </c>
      <c r="AI70" s="39" t="b">
        <v>0</v>
      </c>
      <c r="AJ70" s="39" t="b">
        <v>1</v>
      </c>
      <c r="AK70" s="39" t="b">
        <v>1</v>
      </c>
      <c r="AL70" s="39" t="b">
        <v>1</v>
      </c>
      <c r="AM70" s="39" t="b">
        <v>1</v>
      </c>
      <c r="AN70" s="39" t="b">
        <v>0</v>
      </c>
      <c r="AO70" s="39" t="b">
        <v>1</v>
      </c>
      <c r="AP70" s="39" t="b">
        <v>0</v>
      </c>
      <c r="AQ70" s="39" t="b">
        <v>1</v>
      </c>
      <c r="AR70" s="39" t="b">
        <v>1</v>
      </c>
      <c r="AS70" s="39" t="b">
        <v>1</v>
      </c>
      <c r="AT70" s="39" t="b">
        <v>1</v>
      </c>
      <c r="AU70" s="39" t="b">
        <v>1</v>
      </c>
      <c r="AV70" s="39" t="b">
        <v>0</v>
      </c>
      <c r="AW70" s="39" t="b">
        <v>0</v>
      </c>
      <c r="AX70" s="39" t="b">
        <v>0</v>
      </c>
      <c r="AY70" s="39" t="b">
        <v>1</v>
      </c>
      <c r="AZ70" s="39" t="b">
        <v>1</v>
      </c>
      <c r="BA70" s="39" t="b">
        <v>1</v>
      </c>
      <c r="BB70" s="39" t="b">
        <v>0</v>
      </c>
      <c r="BC70" s="39" t="b">
        <v>0</v>
      </c>
      <c r="BD70" s="39" t="b">
        <v>1</v>
      </c>
      <c r="BE70" s="39" t="b">
        <v>1</v>
      </c>
      <c r="BF70" s="39" t="b">
        <v>1</v>
      </c>
      <c r="BG70" s="39" t="b">
        <v>1</v>
      </c>
      <c r="BH70" s="39" t="b">
        <v>1</v>
      </c>
      <c r="BI70" s="39" t="b">
        <v>0</v>
      </c>
      <c r="BJ70" s="39" t="b">
        <v>1</v>
      </c>
      <c r="BK70" s="39" t="b">
        <v>1</v>
      </c>
      <c r="BL70" s="39" t="b">
        <v>1</v>
      </c>
      <c r="BM70" s="39" t="b">
        <v>1</v>
      </c>
      <c r="BN70" s="39" t="b">
        <v>1</v>
      </c>
      <c r="BO70" s="39" t="b">
        <v>1</v>
      </c>
      <c r="BP70" s="39" t="b">
        <v>1</v>
      </c>
      <c r="BQ70" s="39" t="b">
        <v>0</v>
      </c>
      <c r="BR70" s="39" t="b">
        <v>1</v>
      </c>
      <c r="BS70" s="39" t="b">
        <v>1</v>
      </c>
      <c r="BT70" s="40" t="b">
        <v>1</v>
      </c>
      <c r="BU70" s="40" t="b">
        <v>1</v>
      </c>
      <c r="BV70" s="40" t="b">
        <v>1</v>
      </c>
      <c r="BW70" s="40" t="b">
        <v>1</v>
      </c>
      <c r="BX70" s="19">
        <f t="shared" si="2"/>
        <v>31</v>
      </c>
      <c r="BY70" s="20">
        <f t="shared" si="3"/>
        <v>24</v>
      </c>
      <c r="BZ70" s="21">
        <f t="shared" si="4"/>
        <v>0.7741935484</v>
      </c>
      <c r="CA70" s="22" t="str">
        <f t="shared" si="5"/>
        <v>GOOD IN NOV</v>
      </c>
      <c r="CB70" s="19">
        <f t="shared" si="6"/>
        <v>37</v>
      </c>
      <c r="CC70" s="20">
        <f t="shared" si="7"/>
        <v>28</v>
      </c>
      <c r="CD70" s="23">
        <f t="shared" si="8"/>
        <v>0.7567567568</v>
      </c>
      <c r="CE70" s="24" t="str">
        <f t="shared" si="9"/>
        <v>Good in dec</v>
      </c>
      <c r="CF70" s="24" t="str">
        <f t="shared" si="10"/>
        <v>NOT CONNECT</v>
      </c>
    </row>
    <row r="71">
      <c r="A71" s="36" t="s">
        <v>151</v>
      </c>
      <c r="B71" s="37" t="s">
        <v>152</v>
      </c>
      <c r="C71" s="38">
        <v>9.044585865E9</v>
      </c>
      <c r="D71" s="36" t="s">
        <v>83</v>
      </c>
      <c r="E71" s="28">
        <f t="shared" si="11"/>
        <v>64</v>
      </c>
      <c r="F71" s="28">
        <f t="shared" si="12"/>
        <v>11</v>
      </c>
      <c r="G71" s="29">
        <f t="shared" si="13"/>
        <v>17</v>
      </c>
      <c r="H71" s="28">
        <f t="shared" si="14"/>
        <v>49</v>
      </c>
      <c r="I71" s="28">
        <f t="shared" si="15"/>
        <v>10</v>
      </c>
      <c r="J71" s="35">
        <f t="shared" si="16"/>
        <v>20.40816327</v>
      </c>
      <c r="K71" s="17"/>
      <c r="L71" s="39" t="b">
        <v>0</v>
      </c>
      <c r="M71" s="39" t="b">
        <v>0</v>
      </c>
      <c r="N71" s="39" t="b">
        <v>0</v>
      </c>
      <c r="O71" s="39" t="b">
        <v>0</v>
      </c>
      <c r="P71" s="39" t="b">
        <v>0</v>
      </c>
      <c r="Q71" s="39" t="b">
        <v>0</v>
      </c>
      <c r="R71" s="39" t="b">
        <v>0</v>
      </c>
      <c r="S71" s="39" t="b">
        <v>0</v>
      </c>
      <c r="T71" s="39" t="b">
        <v>0</v>
      </c>
      <c r="U71" s="39" t="b">
        <v>0</v>
      </c>
      <c r="V71" s="39" t="b">
        <v>0</v>
      </c>
      <c r="W71" s="39" t="b">
        <v>0</v>
      </c>
      <c r="X71" s="39" t="b">
        <v>0</v>
      </c>
      <c r="Y71" s="39" t="b">
        <v>0</v>
      </c>
      <c r="Z71" s="39" t="b">
        <v>0</v>
      </c>
      <c r="AA71" s="39" t="b">
        <v>0</v>
      </c>
      <c r="AB71" s="39" t="b">
        <v>0</v>
      </c>
      <c r="AC71" s="39" t="b">
        <v>0</v>
      </c>
      <c r="AD71" s="39" t="b">
        <v>0</v>
      </c>
      <c r="AE71" s="39" t="b">
        <v>0</v>
      </c>
      <c r="AF71" s="39" t="b">
        <v>0</v>
      </c>
      <c r="AG71" s="39" t="b">
        <v>0</v>
      </c>
      <c r="AH71" s="39" t="b">
        <v>0</v>
      </c>
      <c r="AI71" s="39" t="b">
        <v>0</v>
      </c>
      <c r="AJ71" s="39" t="b">
        <v>0</v>
      </c>
      <c r="AK71" s="39" t="b">
        <v>0</v>
      </c>
      <c r="AL71" s="39" t="b">
        <v>0</v>
      </c>
      <c r="AM71" s="39" t="b">
        <v>0</v>
      </c>
      <c r="AN71" s="39" t="b">
        <v>0</v>
      </c>
      <c r="AO71" s="39" t="b">
        <v>0</v>
      </c>
      <c r="AP71" s="39" t="b">
        <v>0</v>
      </c>
      <c r="AQ71" s="39" t="b">
        <v>0</v>
      </c>
      <c r="AR71" s="39" t="b">
        <v>0</v>
      </c>
      <c r="AS71" s="39" t="b">
        <v>0</v>
      </c>
      <c r="AT71" s="39" t="b">
        <v>0</v>
      </c>
      <c r="AU71" s="39" t="b">
        <v>0</v>
      </c>
      <c r="AV71" s="39" t="b">
        <v>0</v>
      </c>
      <c r="AW71" s="39" t="b">
        <v>0</v>
      </c>
      <c r="AX71" s="39" t="b">
        <v>0</v>
      </c>
      <c r="AY71" s="39" t="b">
        <v>0</v>
      </c>
      <c r="AZ71" s="39" t="b">
        <v>0</v>
      </c>
      <c r="BA71" s="39" t="b">
        <v>0</v>
      </c>
      <c r="BB71" s="39" t="b">
        <v>0</v>
      </c>
      <c r="BC71" s="39" t="b">
        <v>0</v>
      </c>
      <c r="BD71" s="39" t="b">
        <v>0</v>
      </c>
      <c r="BE71" s="39" t="b">
        <v>0</v>
      </c>
      <c r="BF71" s="39" t="b">
        <v>0</v>
      </c>
      <c r="BG71" s="39" t="b">
        <v>0</v>
      </c>
      <c r="BH71" s="39" t="b">
        <v>1</v>
      </c>
      <c r="BI71" s="39" t="b">
        <v>0</v>
      </c>
      <c r="BJ71" s="39" t="b">
        <v>0</v>
      </c>
      <c r="BK71" s="39" t="b">
        <v>1</v>
      </c>
      <c r="BL71" s="39" t="b">
        <v>1</v>
      </c>
      <c r="BM71" s="39" t="b">
        <v>1</v>
      </c>
      <c r="BN71" s="39" t="b">
        <v>1</v>
      </c>
      <c r="BO71" s="39" t="b">
        <v>0</v>
      </c>
      <c r="BP71" s="39" t="b">
        <v>1</v>
      </c>
      <c r="BQ71" s="39" t="b">
        <v>0</v>
      </c>
      <c r="BR71" s="39" t="b">
        <v>1</v>
      </c>
      <c r="BS71" s="39" t="b">
        <v>1</v>
      </c>
      <c r="BT71" s="40" t="b">
        <v>1</v>
      </c>
      <c r="BU71" s="40" t="b">
        <v>0</v>
      </c>
      <c r="BV71" s="40" t="b">
        <v>1</v>
      </c>
      <c r="BW71" s="40" t="b">
        <v>1</v>
      </c>
      <c r="BX71" s="19">
        <f t="shared" si="2"/>
        <v>31</v>
      </c>
      <c r="BY71" s="20">
        <f t="shared" si="3"/>
        <v>11</v>
      </c>
      <c r="BZ71" s="21">
        <f t="shared" si="4"/>
        <v>0.3548387097</v>
      </c>
      <c r="CA71" s="22" t="str">
        <f t="shared" si="5"/>
        <v>BAD IN NOV</v>
      </c>
      <c r="CB71" s="19">
        <f t="shared" si="6"/>
        <v>37</v>
      </c>
      <c r="CC71" s="20">
        <f t="shared" si="7"/>
        <v>11</v>
      </c>
      <c r="CD71" s="23">
        <f t="shared" si="8"/>
        <v>0.2972972973</v>
      </c>
      <c r="CE71" s="24" t="str">
        <f t="shared" si="9"/>
        <v>Bad in dec</v>
      </c>
      <c r="CF71" s="24" t="str">
        <f t="shared" si="10"/>
        <v>NOT CONNECT</v>
      </c>
    </row>
    <row r="72">
      <c r="A72" s="36" t="s">
        <v>153</v>
      </c>
      <c r="B72" s="37" t="s">
        <v>154</v>
      </c>
      <c r="C72" s="38">
        <v>7.391350095E9</v>
      </c>
      <c r="D72" s="36" t="s">
        <v>83</v>
      </c>
      <c r="E72" s="28">
        <f t="shared" si="11"/>
        <v>64</v>
      </c>
      <c r="F72" s="28">
        <f t="shared" si="12"/>
        <v>50</v>
      </c>
      <c r="G72" s="32">
        <f t="shared" si="13"/>
        <v>78</v>
      </c>
      <c r="H72" s="28">
        <f t="shared" si="14"/>
        <v>49</v>
      </c>
      <c r="I72" s="28">
        <f t="shared" si="15"/>
        <v>41</v>
      </c>
      <c r="J72" s="30">
        <f t="shared" si="16"/>
        <v>83.67346939</v>
      </c>
      <c r="K72" s="17"/>
      <c r="L72" s="39" t="b">
        <v>1</v>
      </c>
      <c r="M72" s="39" t="b">
        <v>1</v>
      </c>
      <c r="N72" s="39" t="b">
        <v>1</v>
      </c>
      <c r="O72" s="39" t="b">
        <v>0</v>
      </c>
      <c r="P72" s="39" t="b">
        <v>0</v>
      </c>
      <c r="Q72" s="39" t="b">
        <v>1</v>
      </c>
      <c r="R72" s="39" t="b">
        <v>1</v>
      </c>
      <c r="S72" s="39" t="b">
        <v>1</v>
      </c>
      <c r="T72" s="39" t="b">
        <v>1</v>
      </c>
      <c r="U72" s="39" t="b">
        <v>1</v>
      </c>
      <c r="V72" s="39" t="b">
        <v>1</v>
      </c>
      <c r="W72" s="39" t="b">
        <v>1</v>
      </c>
      <c r="X72" s="39" t="b">
        <v>0</v>
      </c>
      <c r="Y72" s="39" t="b">
        <v>1</v>
      </c>
      <c r="Z72" s="39" t="b">
        <v>1</v>
      </c>
      <c r="AA72" s="39" t="b">
        <v>1</v>
      </c>
      <c r="AB72" s="39" t="b">
        <v>1</v>
      </c>
      <c r="AC72" s="39" t="b">
        <v>0</v>
      </c>
      <c r="AD72" s="39" t="b">
        <v>1</v>
      </c>
      <c r="AE72" s="39" t="b">
        <v>1</v>
      </c>
      <c r="AF72" s="39" t="b">
        <v>1</v>
      </c>
      <c r="AG72" s="39" t="b">
        <v>1</v>
      </c>
      <c r="AH72" s="39" t="b">
        <v>1</v>
      </c>
      <c r="AI72" s="39" t="b">
        <v>1</v>
      </c>
      <c r="AJ72" s="39" t="b">
        <v>1</v>
      </c>
      <c r="AK72" s="39" t="b">
        <v>1</v>
      </c>
      <c r="AL72" s="39" t="b">
        <v>1</v>
      </c>
      <c r="AM72" s="39" t="b">
        <v>0</v>
      </c>
      <c r="AN72" s="39" t="b">
        <v>0</v>
      </c>
      <c r="AO72" s="39" t="b">
        <v>1</v>
      </c>
      <c r="AP72" s="39" t="b">
        <v>1</v>
      </c>
      <c r="AQ72" s="39" t="b">
        <v>0</v>
      </c>
      <c r="AR72" s="39" t="b">
        <v>1</v>
      </c>
      <c r="AS72" s="39" t="b">
        <v>1</v>
      </c>
      <c r="AT72" s="39" t="b">
        <v>1</v>
      </c>
      <c r="AU72" s="39" t="b">
        <v>0</v>
      </c>
      <c r="AV72" s="39" t="b">
        <v>0</v>
      </c>
      <c r="AW72" s="39" t="b">
        <v>0</v>
      </c>
      <c r="AX72" s="39" t="b">
        <v>0</v>
      </c>
      <c r="AY72" s="39" t="b">
        <v>1</v>
      </c>
      <c r="AZ72" s="39" t="b">
        <v>1</v>
      </c>
      <c r="BA72" s="39" t="b">
        <v>1</v>
      </c>
      <c r="BB72" s="39" t="b">
        <v>0</v>
      </c>
      <c r="BC72" s="39" t="b">
        <v>0</v>
      </c>
      <c r="BD72" s="39" t="b">
        <v>1</v>
      </c>
      <c r="BE72" s="39" t="b">
        <v>1</v>
      </c>
      <c r="BF72" s="39" t="b">
        <v>0</v>
      </c>
      <c r="BG72" s="39" t="b">
        <v>1</v>
      </c>
      <c r="BH72" s="39" t="b">
        <v>1</v>
      </c>
      <c r="BI72" s="39" t="b">
        <v>1</v>
      </c>
      <c r="BJ72" s="39" t="b">
        <v>1</v>
      </c>
      <c r="BK72" s="39" t="b">
        <v>1</v>
      </c>
      <c r="BL72" s="39" t="b">
        <v>1</v>
      </c>
      <c r="BM72" s="39" t="b">
        <v>1</v>
      </c>
      <c r="BN72" s="39" t="b">
        <v>1</v>
      </c>
      <c r="BO72" s="39" t="b">
        <v>1</v>
      </c>
      <c r="BP72" s="39" t="b">
        <v>1</v>
      </c>
      <c r="BQ72" s="39" t="b">
        <v>1</v>
      </c>
      <c r="BR72" s="39" t="b">
        <v>1</v>
      </c>
      <c r="BS72" s="39" t="b">
        <v>1</v>
      </c>
      <c r="BT72" s="40" t="b">
        <v>1</v>
      </c>
      <c r="BU72" s="40" t="b">
        <v>1</v>
      </c>
      <c r="BV72" s="40" t="b">
        <v>1</v>
      </c>
      <c r="BW72" s="40" t="b">
        <v>1</v>
      </c>
      <c r="BX72" s="19">
        <f t="shared" si="2"/>
        <v>31</v>
      </c>
      <c r="BY72" s="20">
        <f t="shared" si="3"/>
        <v>24</v>
      </c>
      <c r="BZ72" s="21">
        <f t="shared" si="4"/>
        <v>0.7741935484</v>
      </c>
      <c r="CA72" s="22" t="str">
        <f t="shared" si="5"/>
        <v>GOOD IN NOV</v>
      </c>
      <c r="CB72" s="19">
        <f t="shared" si="6"/>
        <v>37</v>
      </c>
      <c r="CC72" s="20">
        <f t="shared" si="7"/>
        <v>27</v>
      </c>
      <c r="CD72" s="23">
        <f t="shared" si="8"/>
        <v>0.7297297297</v>
      </c>
      <c r="CE72" s="24" t="str">
        <f t="shared" si="9"/>
        <v>Good in dec</v>
      </c>
      <c r="CF72" s="24" t="str">
        <f t="shared" si="10"/>
        <v>NOT CONNECT</v>
      </c>
    </row>
    <row r="73">
      <c r="A73" s="36" t="s">
        <v>155</v>
      </c>
      <c r="B73" s="37" t="s">
        <v>156</v>
      </c>
      <c r="C73" s="38">
        <v>8.004284971E9</v>
      </c>
      <c r="D73" s="36" t="s">
        <v>83</v>
      </c>
      <c r="E73" s="28">
        <f t="shared" si="11"/>
        <v>64</v>
      </c>
      <c r="F73" s="28">
        <f t="shared" si="12"/>
        <v>29</v>
      </c>
      <c r="G73" s="29">
        <f t="shared" si="13"/>
        <v>45</v>
      </c>
      <c r="H73" s="28">
        <f t="shared" si="14"/>
        <v>49</v>
      </c>
      <c r="I73" s="28">
        <f t="shared" si="15"/>
        <v>26</v>
      </c>
      <c r="J73" s="35">
        <f t="shared" si="16"/>
        <v>53.06122449</v>
      </c>
      <c r="K73" s="17"/>
      <c r="L73" s="39" t="b">
        <v>0</v>
      </c>
      <c r="M73" s="39" t="b">
        <v>0</v>
      </c>
      <c r="N73" s="39" t="b">
        <v>1</v>
      </c>
      <c r="O73" s="39" t="b">
        <v>0</v>
      </c>
      <c r="P73" s="39" t="b">
        <v>0</v>
      </c>
      <c r="Q73" s="39" t="b">
        <v>0</v>
      </c>
      <c r="R73" s="39" t="b">
        <v>0</v>
      </c>
      <c r="S73" s="39" t="b">
        <v>0</v>
      </c>
      <c r="T73" s="39" t="b">
        <v>1</v>
      </c>
      <c r="U73" s="39" t="b">
        <v>0</v>
      </c>
      <c r="V73" s="39" t="b">
        <v>0</v>
      </c>
      <c r="W73" s="39" t="b">
        <v>1</v>
      </c>
      <c r="X73" s="39" t="b">
        <v>0</v>
      </c>
      <c r="Y73" s="39" t="b">
        <v>1</v>
      </c>
      <c r="Z73" s="39" t="b">
        <v>0</v>
      </c>
      <c r="AA73" s="39" t="b">
        <v>0</v>
      </c>
      <c r="AB73" s="39" t="b">
        <v>0</v>
      </c>
      <c r="AC73" s="39" t="b">
        <v>0</v>
      </c>
      <c r="AD73" s="39" t="b">
        <v>0</v>
      </c>
      <c r="AE73" s="39" t="b">
        <v>0</v>
      </c>
      <c r="AF73" s="39" t="b">
        <v>0</v>
      </c>
      <c r="AG73" s="39" t="b">
        <v>0</v>
      </c>
      <c r="AH73" s="39" t="b">
        <v>1</v>
      </c>
      <c r="AI73" s="39" t="b">
        <v>0</v>
      </c>
      <c r="AJ73" s="39" t="b">
        <v>0</v>
      </c>
      <c r="AK73" s="39" t="b">
        <v>0</v>
      </c>
      <c r="AL73" s="39" t="b">
        <v>1</v>
      </c>
      <c r="AM73" s="39" t="b">
        <v>0</v>
      </c>
      <c r="AN73" s="39" t="b">
        <v>0</v>
      </c>
      <c r="AO73" s="39" t="b">
        <v>1</v>
      </c>
      <c r="AP73" s="39" t="b">
        <v>1</v>
      </c>
      <c r="AQ73" s="39" t="b">
        <v>0</v>
      </c>
      <c r="AR73" s="39" t="b">
        <v>0</v>
      </c>
      <c r="AS73" s="39" t="b">
        <v>0</v>
      </c>
      <c r="AT73" s="39" t="b">
        <v>0</v>
      </c>
      <c r="AU73" s="39" t="b">
        <v>0</v>
      </c>
      <c r="AV73" s="39" t="b">
        <v>0</v>
      </c>
      <c r="AW73" s="39" t="b">
        <v>0</v>
      </c>
      <c r="AX73" s="39" t="b">
        <v>0</v>
      </c>
      <c r="AY73" s="39" t="b">
        <v>1</v>
      </c>
      <c r="AZ73" s="39" t="b">
        <v>1</v>
      </c>
      <c r="BA73" s="39" t="b">
        <v>1</v>
      </c>
      <c r="BB73" s="39" t="b">
        <v>0</v>
      </c>
      <c r="BC73" s="39" t="b">
        <v>0</v>
      </c>
      <c r="BD73" s="39" t="b">
        <v>1</v>
      </c>
      <c r="BE73" s="39" t="b">
        <v>1</v>
      </c>
      <c r="BF73" s="39" t="b">
        <v>0</v>
      </c>
      <c r="BG73" s="39" t="b">
        <v>0</v>
      </c>
      <c r="BH73" s="39" t="b">
        <v>1</v>
      </c>
      <c r="BI73" s="39" t="b">
        <v>1</v>
      </c>
      <c r="BJ73" s="39" t="b">
        <v>1</v>
      </c>
      <c r="BK73" s="39" t="b">
        <v>1</v>
      </c>
      <c r="BL73" s="39" t="b">
        <v>1</v>
      </c>
      <c r="BM73" s="39" t="b">
        <v>1</v>
      </c>
      <c r="BN73" s="39" t="b">
        <v>1</v>
      </c>
      <c r="BO73" s="39" t="b">
        <v>1</v>
      </c>
      <c r="BP73" s="39" t="b">
        <v>1</v>
      </c>
      <c r="BQ73" s="39" t="b">
        <v>1</v>
      </c>
      <c r="BR73" s="39" t="b">
        <v>1</v>
      </c>
      <c r="BS73" s="39" t="b">
        <v>1</v>
      </c>
      <c r="BT73" s="40" t="b">
        <v>1</v>
      </c>
      <c r="BU73" s="40" t="b">
        <v>1</v>
      </c>
      <c r="BV73" s="40" t="b">
        <v>1</v>
      </c>
      <c r="BW73" s="40" t="b">
        <v>1</v>
      </c>
      <c r="BX73" s="19">
        <f t="shared" si="2"/>
        <v>31</v>
      </c>
      <c r="BY73" s="20">
        <f t="shared" si="3"/>
        <v>21</v>
      </c>
      <c r="BZ73" s="21">
        <f t="shared" si="4"/>
        <v>0.6774193548</v>
      </c>
      <c r="CA73" s="22" t="str">
        <f t="shared" si="5"/>
        <v>GOOD IN NOV</v>
      </c>
      <c r="CB73" s="19">
        <f t="shared" si="6"/>
        <v>37</v>
      </c>
      <c r="CC73" s="20">
        <f t="shared" si="7"/>
        <v>23</v>
      </c>
      <c r="CD73" s="23">
        <f t="shared" si="8"/>
        <v>0.6216216216</v>
      </c>
      <c r="CE73" s="24" t="str">
        <f t="shared" si="9"/>
        <v>Good in dec</v>
      </c>
      <c r="CF73" s="24" t="str">
        <f t="shared" si="10"/>
        <v>NOT CONNECT</v>
      </c>
    </row>
    <row r="74">
      <c r="A74" s="36" t="s">
        <v>157</v>
      </c>
      <c r="B74" s="37" t="s">
        <v>158</v>
      </c>
      <c r="C74" s="38">
        <v>7.985911307E9</v>
      </c>
      <c r="D74" s="36" t="s">
        <v>83</v>
      </c>
      <c r="E74" s="28">
        <f t="shared" si="11"/>
        <v>64</v>
      </c>
      <c r="F74" s="28">
        <f t="shared" si="12"/>
        <v>48</v>
      </c>
      <c r="G74" s="32">
        <f t="shared" si="13"/>
        <v>75</v>
      </c>
      <c r="H74" s="28">
        <f t="shared" si="14"/>
        <v>49</v>
      </c>
      <c r="I74" s="28">
        <f t="shared" si="15"/>
        <v>39</v>
      </c>
      <c r="J74" s="30">
        <f t="shared" si="16"/>
        <v>79.59183673</v>
      </c>
      <c r="K74" s="42"/>
      <c r="L74" s="43" t="b">
        <v>1</v>
      </c>
      <c r="M74" s="43" t="b">
        <v>1</v>
      </c>
      <c r="N74" s="43" t="b">
        <v>1</v>
      </c>
      <c r="O74" s="43" t="b">
        <v>1</v>
      </c>
      <c r="P74" s="43" t="b">
        <v>1</v>
      </c>
      <c r="Q74" s="43" t="b">
        <v>1</v>
      </c>
      <c r="R74" s="43" t="b">
        <v>0</v>
      </c>
      <c r="S74" s="43" t="b">
        <v>0</v>
      </c>
      <c r="T74" s="43" t="b">
        <v>1</v>
      </c>
      <c r="U74" s="43" t="b">
        <v>1</v>
      </c>
      <c r="V74" s="43" t="b">
        <v>1</v>
      </c>
      <c r="W74" s="43" t="b">
        <v>1</v>
      </c>
      <c r="X74" s="43" t="b">
        <v>0</v>
      </c>
      <c r="Y74" s="43" t="b">
        <v>1</v>
      </c>
      <c r="Z74" s="43" t="b">
        <v>0</v>
      </c>
      <c r="AA74" s="43" t="b">
        <v>0</v>
      </c>
      <c r="AB74" s="43" t="b">
        <v>0</v>
      </c>
      <c r="AC74" s="43" t="b">
        <v>1</v>
      </c>
      <c r="AD74" s="43" t="b">
        <v>1</v>
      </c>
      <c r="AE74" s="43" t="b">
        <v>1</v>
      </c>
      <c r="AF74" s="43" t="b">
        <v>1</v>
      </c>
      <c r="AG74" s="43" t="b">
        <v>0</v>
      </c>
      <c r="AH74" s="43" t="b">
        <v>0</v>
      </c>
      <c r="AI74" s="43" t="b">
        <v>0</v>
      </c>
      <c r="AJ74" s="43" t="b">
        <v>0</v>
      </c>
      <c r="AK74" s="43" t="b">
        <v>1</v>
      </c>
      <c r="AL74" s="43" t="b">
        <v>1</v>
      </c>
      <c r="AM74" s="43" t="b">
        <v>1</v>
      </c>
      <c r="AN74" s="43" t="b">
        <v>0</v>
      </c>
      <c r="AO74" s="43" t="b">
        <v>0</v>
      </c>
      <c r="AP74" s="43" t="b">
        <v>0</v>
      </c>
      <c r="AQ74" s="43" t="b">
        <v>0</v>
      </c>
      <c r="AR74" s="43" t="b">
        <v>1</v>
      </c>
      <c r="AS74" s="43" t="b">
        <v>1</v>
      </c>
      <c r="AT74" s="43" t="b">
        <v>1</v>
      </c>
      <c r="AU74" s="43" t="b">
        <v>1</v>
      </c>
      <c r="AV74" s="43" t="b">
        <v>1</v>
      </c>
      <c r="AW74" s="43" t="b">
        <v>1</v>
      </c>
      <c r="AX74" s="43" t="b">
        <v>1</v>
      </c>
      <c r="AY74" s="43" t="b">
        <v>1</v>
      </c>
      <c r="AZ74" s="43" t="b">
        <v>1</v>
      </c>
      <c r="BA74" s="43" t="b">
        <v>1</v>
      </c>
      <c r="BB74" s="43" t="b">
        <v>1</v>
      </c>
      <c r="BC74" s="43" t="b">
        <v>1</v>
      </c>
      <c r="BD74" s="43" t="b">
        <v>1</v>
      </c>
      <c r="BE74" s="43" t="b">
        <v>1</v>
      </c>
      <c r="BF74" s="43" t="b">
        <v>1</v>
      </c>
      <c r="BG74" s="43" t="b">
        <v>1</v>
      </c>
      <c r="BH74" s="43" t="b">
        <v>1</v>
      </c>
      <c r="BI74" s="43" t="b">
        <v>1</v>
      </c>
      <c r="BJ74" s="43" t="b">
        <v>1</v>
      </c>
      <c r="BK74" s="43" t="b">
        <v>1</v>
      </c>
      <c r="BL74" s="43" t="b">
        <v>1</v>
      </c>
      <c r="BM74" s="43" t="b">
        <v>1</v>
      </c>
      <c r="BN74" s="43" t="b">
        <v>0</v>
      </c>
      <c r="BO74" s="43" t="b">
        <v>1</v>
      </c>
      <c r="BP74" s="43" t="b">
        <v>1</v>
      </c>
      <c r="BQ74" s="43" t="b">
        <v>1</v>
      </c>
      <c r="BR74" s="43" t="b">
        <v>1</v>
      </c>
      <c r="BS74" s="43" t="b">
        <v>1</v>
      </c>
      <c r="BT74" s="40" t="b">
        <v>0</v>
      </c>
      <c r="BU74" s="40" t="b">
        <v>1</v>
      </c>
      <c r="BV74" s="40" t="b">
        <v>1</v>
      </c>
      <c r="BW74" s="40" t="b">
        <v>1</v>
      </c>
      <c r="BX74" s="19">
        <f t="shared" si="2"/>
        <v>31</v>
      </c>
      <c r="BY74" s="20">
        <f t="shared" si="3"/>
        <v>29</v>
      </c>
      <c r="BZ74" s="21">
        <f t="shared" si="4"/>
        <v>0.935483871</v>
      </c>
      <c r="CA74" s="22" t="str">
        <f t="shared" si="5"/>
        <v>GOOD IN NOV</v>
      </c>
      <c r="CB74" s="19">
        <f t="shared" si="6"/>
        <v>37</v>
      </c>
      <c r="CC74" s="20">
        <f t="shared" si="7"/>
        <v>31</v>
      </c>
      <c r="CD74" s="23">
        <f t="shared" si="8"/>
        <v>0.8378378378</v>
      </c>
      <c r="CE74" s="24" t="str">
        <f t="shared" si="9"/>
        <v>Good in dec</v>
      </c>
      <c r="CF74" s="24" t="str">
        <f t="shared" si="10"/>
        <v>NOT CONNECT</v>
      </c>
    </row>
    <row r="75">
      <c r="A75" s="36" t="s">
        <v>159</v>
      </c>
      <c r="B75" s="37" t="s">
        <v>160</v>
      </c>
      <c r="C75" s="38">
        <v>7.39800564E9</v>
      </c>
      <c r="D75" s="36" t="s">
        <v>83</v>
      </c>
      <c r="E75" s="28">
        <f t="shared" si="11"/>
        <v>64</v>
      </c>
      <c r="F75" s="28">
        <f t="shared" si="12"/>
        <v>42</v>
      </c>
      <c r="G75" s="29">
        <f t="shared" si="13"/>
        <v>66</v>
      </c>
      <c r="H75" s="28">
        <f t="shared" si="14"/>
        <v>49</v>
      </c>
      <c r="I75" s="28">
        <f t="shared" si="15"/>
        <v>35</v>
      </c>
      <c r="J75" s="30">
        <f t="shared" si="16"/>
        <v>71.42857143</v>
      </c>
      <c r="K75" s="17"/>
      <c r="L75" s="39" t="b">
        <v>0</v>
      </c>
      <c r="M75" s="39" t="b">
        <v>0</v>
      </c>
      <c r="N75" s="39" t="b">
        <v>1</v>
      </c>
      <c r="O75" s="39" t="b">
        <v>0</v>
      </c>
      <c r="P75" s="39" t="b">
        <v>0</v>
      </c>
      <c r="Q75" s="39" t="b">
        <v>1</v>
      </c>
      <c r="R75" s="39" t="b">
        <v>1</v>
      </c>
      <c r="S75" s="39" t="b">
        <v>1</v>
      </c>
      <c r="T75" s="39" t="b">
        <v>1</v>
      </c>
      <c r="U75" s="39" t="b">
        <v>1</v>
      </c>
      <c r="V75" s="39" t="b">
        <v>1</v>
      </c>
      <c r="W75" s="39" t="b">
        <v>0</v>
      </c>
      <c r="X75" s="39" t="b">
        <v>0</v>
      </c>
      <c r="Y75" s="39" t="b">
        <v>0</v>
      </c>
      <c r="Z75" s="39" t="b">
        <v>0</v>
      </c>
      <c r="AA75" s="39" t="b">
        <v>0</v>
      </c>
      <c r="AB75" s="39" t="b">
        <v>0</v>
      </c>
      <c r="AC75" s="39" t="b">
        <v>0</v>
      </c>
      <c r="AD75" s="39" t="b">
        <v>0</v>
      </c>
      <c r="AE75" s="39" t="b">
        <v>0</v>
      </c>
      <c r="AF75" s="39" t="b">
        <v>0</v>
      </c>
      <c r="AG75" s="39" t="b">
        <v>0</v>
      </c>
      <c r="AH75" s="39" t="b">
        <v>0</v>
      </c>
      <c r="AI75" s="39" t="b">
        <v>1</v>
      </c>
      <c r="AJ75" s="39" t="b">
        <v>1</v>
      </c>
      <c r="AK75" s="39" t="b">
        <v>1</v>
      </c>
      <c r="AL75" s="39" t="b">
        <v>1</v>
      </c>
      <c r="AM75" s="39" t="b">
        <v>1</v>
      </c>
      <c r="AN75" s="39" t="b">
        <v>0</v>
      </c>
      <c r="AO75" s="39" t="b">
        <v>1</v>
      </c>
      <c r="AP75" s="39" t="b">
        <v>1</v>
      </c>
      <c r="AQ75" s="39" t="b">
        <v>1</v>
      </c>
      <c r="AR75" s="39" t="b">
        <v>1</v>
      </c>
      <c r="AS75" s="39" t="b">
        <v>1</v>
      </c>
      <c r="AT75" s="39" t="b">
        <v>1</v>
      </c>
      <c r="AU75" s="39" t="b">
        <v>1</v>
      </c>
      <c r="AV75" s="39" t="b">
        <v>0</v>
      </c>
      <c r="AW75" s="39" t="b">
        <v>0</v>
      </c>
      <c r="AX75" s="39" t="b">
        <v>0</v>
      </c>
      <c r="AY75" s="39" t="b">
        <v>1</v>
      </c>
      <c r="AZ75" s="39" t="b">
        <v>1</v>
      </c>
      <c r="BA75" s="39" t="b">
        <v>1</v>
      </c>
      <c r="BB75" s="39" t="b">
        <v>1</v>
      </c>
      <c r="BC75" s="39" t="b">
        <v>0</v>
      </c>
      <c r="BD75" s="39" t="b">
        <v>1</v>
      </c>
      <c r="BE75" s="39" t="b">
        <v>1</v>
      </c>
      <c r="BF75" s="39" t="b">
        <v>0</v>
      </c>
      <c r="BG75" s="39" t="b">
        <v>1</v>
      </c>
      <c r="BH75" s="39" t="b">
        <v>1</v>
      </c>
      <c r="BI75" s="39" t="b">
        <v>1</v>
      </c>
      <c r="BJ75" s="39" t="b">
        <v>1</v>
      </c>
      <c r="BK75" s="39" t="b">
        <v>1</v>
      </c>
      <c r="BL75" s="39" t="b">
        <v>1</v>
      </c>
      <c r="BM75" s="39" t="b">
        <v>1</v>
      </c>
      <c r="BN75" s="39" t="b">
        <v>1</v>
      </c>
      <c r="BO75" s="39" t="b">
        <v>1</v>
      </c>
      <c r="BP75" s="39" t="b">
        <v>1</v>
      </c>
      <c r="BQ75" s="39" t="b">
        <v>1</v>
      </c>
      <c r="BR75" s="39" t="b">
        <v>1</v>
      </c>
      <c r="BS75" s="39" t="b">
        <v>1</v>
      </c>
      <c r="BT75" s="40" t="b">
        <v>1</v>
      </c>
      <c r="BU75" s="40" t="b">
        <v>1</v>
      </c>
      <c r="BV75" s="40" t="b">
        <v>1</v>
      </c>
      <c r="BW75" s="40" t="b">
        <v>1</v>
      </c>
      <c r="BX75" s="19">
        <f t="shared" si="2"/>
        <v>31</v>
      </c>
      <c r="BY75" s="20">
        <f t="shared" si="3"/>
        <v>26</v>
      </c>
      <c r="BZ75" s="21">
        <f t="shared" si="4"/>
        <v>0.8387096774</v>
      </c>
      <c r="CA75" s="22" t="str">
        <f t="shared" si="5"/>
        <v>GOOD IN NOV</v>
      </c>
      <c r="CB75" s="19">
        <f t="shared" si="6"/>
        <v>37</v>
      </c>
      <c r="CC75" s="20">
        <f t="shared" si="7"/>
        <v>31</v>
      </c>
      <c r="CD75" s="23">
        <f t="shared" si="8"/>
        <v>0.8378378378</v>
      </c>
      <c r="CE75" s="24" t="str">
        <f t="shared" si="9"/>
        <v>Good in dec</v>
      </c>
      <c r="CF75" s="24" t="str">
        <f t="shared" si="10"/>
        <v>NOT CONNECT</v>
      </c>
    </row>
    <row r="76">
      <c r="A76" s="36" t="s">
        <v>161</v>
      </c>
      <c r="B76" s="37" t="s">
        <v>162</v>
      </c>
      <c r="C76" s="38">
        <v>7.800501513E9</v>
      </c>
      <c r="D76" s="36" t="s">
        <v>83</v>
      </c>
      <c r="E76" s="28">
        <f t="shared" si="11"/>
        <v>64</v>
      </c>
      <c r="F76" s="28">
        <f t="shared" si="12"/>
        <v>30</v>
      </c>
      <c r="G76" s="29">
        <f t="shared" si="13"/>
        <v>47</v>
      </c>
      <c r="H76" s="28">
        <f t="shared" si="14"/>
        <v>49</v>
      </c>
      <c r="I76" s="28">
        <f t="shared" si="15"/>
        <v>26</v>
      </c>
      <c r="J76" s="35">
        <f t="shared" si="16"/>
        <v>53.06122449</v>
      </c>
      <c r="K76" s="17"/>
      <c r="L76" s="39" t="b">
        <v>0</v>
      </c>
      <c r="M76" s="39" t="b">
        <v>0</v>
      </c>
      <c r="N76" s="39" t="b">
        <v>1</v>
      </c>
      <c r="O76" s="39" t="b">
        <v>0</v>
      </c>
      <c r="P76" s="39" t="b">
        <v>0</v>
      </c>
      <c r="Q76" s="39" t="b">
        <v>0</v>
      </c>
      <c r="R76" s="39" t="b">
        <v>0</v>
      </c>
      <c r="S76" s="39" t="b">
        <v>1</v>
      </c>
      <c r="T76" s="39" t="b">
        <v>0</v>
      </c>
      <c r="U76" s="39" t="b">
        <v>0</v>
      </c>
      <c r="V76" s="39" t="b">
        <v>0</v>
      </c>
      <c r="W76" s="39" t="b">
        <v>0</v>
      </c>
      <c r="X76" s="39" t="b">
        <v>0</v>
      </c>
      <c r="Y76" s="39" t="b">
        <v>0</v>
      </c>
      <c r="Z76" s="39" t="b">
        <v>0</v>
      </c>
      <c r="AA76" s="39" t="b">
        <v>0</v>
      </c>
      <c r="AB76" s="39" t="b">
        <v>0</v>
      </c>
      <c r="AC76" s="39" t="b">
        <v>0</v>
      </c>
      <c r="AD76" s="39" t="b">
        <v>0</v>
      </c>
      <c r="AE76" s="39" t="b">
        <v>0</v>
      </c>
      <c r="AF76" s="39" t="b">
        <v>0</v>
      </c>
      <c r="AG76" s="39" t="b">
        <v>1</v>
      </c>
      <c r="AH76" s="39" t="b">
        <v>1</v>
      </c>
      <c r="AI76" s="39" t="b">
        <v>1</v>
      </c>
      <c r="AJ76" s="39" t="b">
        <v>1</v>
      </c>
      <c r="AK76" s="39" t="b">
        <v>1</v>
      </c>
      <c r="AL76" s="39" t="b">
        <v>1</v>
      </c>
      <c r="AM76" s="39" t="b">
        <v>1</v>
      </c>
      <c r="AN76" s="39" t="b">
        <v>0</v>
      </c>
      <c r="AO76" s="39" t="b">
        <v>1</v>
      </c>
      <c r="AP76" s="39" t="b">
        <v>1</v>
      </c>
      <c r="AQ76" s="39" t="b">
        <v>0</v>
      </c>
      <c r="AR76" s="39" t="b">
        <v>1</v>
      </c>
      <c r="AS76" s="39" t="b">
        <v>1</v>
      </c>
      <c r="AT76" s="39" t="b">
        <v>0</v>
      </c>
      <c r="AU76" s="39" t="b">
        <v>0</v>
      </c>
      <c r="AV76" s="39" t="b">
        <v>1</v>
      </c>
      <c r="AW76" s="39" t="b">
        <v>0</v>
      </c>
      <c r="AX76" s="39" t="b">
        <v>1</v>
      </c>
      <c r="AY76" s="39" t="b">
        <v>0</v>
      </c>
      <c r="AZ76" s="39" t="b">
        <v>1</v>
      </c>
      <c r="BA76" s="39" t="b">
        <v>0</v>
      </c>
      <c r="BB76" s="39" t="b">
        <v>1</v>
      </c>
      <c r="BC76" s="39" t="b">
        <v>0</v>
      </c>
      <c r="BD76" s="39" t="b">
        <v>0</v>
      </c>
      <c r="BE76" s="39" t="b">
        <v>1</v>
      </c>
      <c r="BF76" s="39" t="b">
        <v>0</v>
      </c>
      <c r="BG76" s="39" t="b">
        <v>0</v>
      </c>
      <c r="BH76" s="39" t="b">
        <v>1</v>
      </c>
      <c r="BI76" s="39" t="b">
        <v>0</v>
      </c>
      <c r="BJ76" s="39" t="b">
        <v>0</v>
      </c>
      <c r="BK76" s="39" t="b">
        <v>1</v>
      </c>
      <c r="BL76" s="39" t="b">
        <v>1</v>
      </c>
      <c r="BM76" s="39" t="b">
        <v>1</v>
      </c>
      <c r="BN76" s="39" t="b">
        <v>1</v>
      </c>
      <c r="BO76" s="39" t="b">
        <v>1</v>
      </c>
      <c r="BP76" s="39" t="b">
        <v>1</v>
      </c>
      <c r="BQ76" s="39" t="b">
        <v>0</v>
      </c>
      <c r="BR76" s="39" t="b">
        <v>1</v>
      </c>
      <c r="BS76" s="39" t="b">
        <v>1</v>
      </c>
      <c r="BT76" s="40" t="b">
        <v>1</v>
      </c>
      <c r="BU76" s="40" t="b">
        <v>1</v>
      </c>
      <c r="BV76" s="40" t="b">
        <v>0</v>
      </c>
      <c r="BW76" s="40" t="b">
        <v>1</v>
      </c>
      <c r="BX76" s="19">
        <f t="shared" si="2"/>
        <v>31</v>
      </c>
      <c r="BY76" s="20">
        <f t="shared" si="3"/>
        <v>18</v>
      </c>
      <c r="BZ76" s="21">
        <f t="shared" si="4"/>
        <v>0.5806451613</v>
      </c>
      <c r="CA76" s="22" t="str">
        <f t="shared" si="5"/>
        <v>BAD IN NOV</v>
      </c>
      <c r="CB76" s="19">
        <f t="shared" si="6"/>
        <v>37</v>
      </c>
      <c r="CC76" s="20">
        <f t="shared" si="7"/>
        <v>22</v>
      </c>
      <c r="CD76" s="23">
        <f t="shared" si="8"/>
        <v>0.5945945946</v>
      </c>
      <c r="CE76" s="24" t="str">
        <f t="shared" si="9"/>
        <v>Good in dec</v>
      </c>
      <c r="CF76" s="24" t="str">
        <f t="shared" si="10"/>
        <v>NOT CONNECT</v>
      </c>
    </row>
    <row r="77">
      <c r="A77" s="36" t="s">
        <v>163</v>
      </c>
      <c r="B77" s="37" t="s">
        <v>164</v>
      </c>
      <c r="C77" s="38">
        <v>9.135029853E9</v>
      </c>
      <c r="D77" s="36" t="s">
        <v>83</v>
      </c>
      <c r="E77" s="28">
        <f t="shared" si="11"/>
        <v>64</v>
      </c>
      <c r="F77" s="28">
        <f t="shared" si="12"/>
        <v>34</v>
      </c>
      <c r="G77" s="29">
        <f t="shared" si="13"/>
        <v>53</v>
      </c>
      <c r="H77" s="28">
        <f t="shared" si="14"/>
        <v>49</v>
      </c>
      <c r="I77" s="28">
        <f t="shared" si="15"/>
        <v>27</v>
      </c>
      <c r="J77" s="35">
        <f t="shared" si="16"/>
        <v>55.10204082</v>
      </c>
      <c r="K77" s="17"/>
      <c r="L77" s="39" t="b">
        <v>0</v>
      </c>
      <c r="M77" s="39" t="b">
        <v>1</v>
      </c>
      <c r="N77" s="39" t="b">
        <v>1</v>
      </c>
      <c r="O77" s="39" t="b">
        <v>0</v>
      </c>
      <c r="P77" s="39" t="b">
        <v>0</v>
      </c>
      <c r="Q77" s="39" t="b">
        <v>0</v>
      </c>
      <c r="R77" s="39" t="b">
        <v>0</v>
      </c>
      <c r="S77" s="39" t="b">
        <v>0</v>
      </c>
      <c r="T77" s="39" t="b">
        <v>0</v>
      </c>
      <c r="U77" s="39" t="b">
        <v>0</v>
      </c>
      <c r="V77" s="39" t="b">
        <v>1</v>
      </c>
      <c r="W77" s="39" t="b">
        <v>1</v>
      </c>
      <c r="X77" s="39" t="b">
        <v>0</v>
      </c>
      <c r="Y77" s="39" t="b">
        <v>0</v>
      </c>
      <c r="Z77" s="39" t="b">
        <v>0</v>
      </c>
      <c r="AA77" s="39" t="b">
        <v>1</v>
      </c>
      <c r="AB77" s="39" t="b">
        <v>1</v>
      </c>
      <c r="AC77" s="39" t="b">
        <v>1</v>
      </c>
      <c r="AD77" s="39" t="b">
        <v>0</v>
      </c>
      <c r="AE77" s="39" t="b">
        <v>1</v>
      </c>
      <c r="AF77" s="39" t="b">
        <v>0</v>
      </c>
      <c r="AG77" s="39" t="b">
        <v>0</v>
      </c>
      <c r="AH77" s="39" t="b">
        <v>0</v>
      </c>
      <c r="AI77" s="39" t="b">
        <v>0</v>
      </c>
      <c r="AJ77" s="39" t="b">
        <v>0</v>
      </c>
      <c r="AK77" s="39" t="b">
        <v>1</v>
      </c>
      <c r="AL77" s="39" t="b">
        <v>1</v>
      </c>
      <c r="AM77" s="39" t="b">
        <v>0</v>
      </c>
      <c r="AN77" s="39" t="b">
        <v>0</v>
      </c>
      <c r="AO77" s="39" t="b">
        <v>0</v>
      </c>
      <c r="AP77" s="39" t="b">
        <v>0</v>
      </c>
      <c r="AQ77" s="39" t="b">
        <v>0</v>
      </c>
      <c r="AR77" s="39" t="b">
        <v>1</v>
      </c>
      <c r="AS77" s="39" t="b">
        <v>0</v>
      </c>
      <c r="AT77" s="39" t="b">
        <v>1</v>
      </c>
      <c r="AU77" s="39" t="b">
        <v>1</v>
      </c>
      <c r="AV77" s="39" t="b">
        <v>0</v>
      </c>
      <c r="AW77" s="39" t="b">
        <v>0</v>
      </c>
      <c r="AX77" s="39" t="b">
        <v>0</v>
      </c>
      <c r="AY77" s="39" t="b">
        <v>1</v>
      </c>
      <c r="AZ77" s="39" t="b">
        <v>1</v>
      </c>
      <c r="BA77" s="39" t="b">
        <v>1</v>
      </c>
      <c r="BB77" s="39" t="b">
        <v>1</v>
      </c>
      <c r="BC77" s="39" t="b">
        <v>1</v>
      </c>
      <c r="BD77" s="39" t="b">
        <v>0</v>
      </c>
      <c r="BE77" s="39" t="b">
        <v>1</v>
      </c>
      <c r="BF77" s="39" t="b">
        <v>1</v>
      </c>
      <c r="BG77" s="39" t="b">
        <v>1</v>
      </c>
      <c r="BH77" s="39" t="b">
        <v>0</v>
      </c>
      <c r="BI77" s="39" t="b">
        <v>1</v>
      </c>
      <c r="BJ77" s="39" t="b">
        <v>1</v>
      </c>
      <c r="BK77" s="39" t="b">
        <v>1</v>
      </c>
      <c r="BL77" s="39" t="b">
        <v>1</v>
      </c>
      <c r="BM77" s="39" t="b">
        <v>1</v>
      </c>
      <c r="BN77" s="39" t="b">
        <v>0</v>
      </c>
      <c r="BO77" s="39" t="b">
        <v>1</v>
      </c>
      <c r="BP77" s="39" t="b">
        <v>1</v>
      </c>
      <c r="BQ77" s="39" t="b">
        <v>1</v>
      </c>
      <c r="BR77" s="39" t="b">
        <v>1</v>
      </c>
      <c r="BS77" s="39" t="b">
        <v>1</v>
      </c>
      <c r="BT77" s="40" t="b">
        <v>1</v>
      </c>
      <c r="BU77" s="40" t="b">
        <v>1</v>
      </c>
      <c r="BV77" s="40" t="b">
        <v>1</v>
      </c>
      <c r="BW77" s="40" t="b">
        <v>0</v>
      </c>
      <c r="BX77" s="19">
        <f t="shared" si="2"/>
        <v>31</v>
      </c>
      <c r="BY77" s="20">
        <f t="shared" si="3"/>
        <v>23</v>
      </c>
      <c r="BZ77" s="21">
        <f t="shared" si="4"/>
        <v>0.7419354839</v>
      </c>
      <c r="CA77" s="22" t="str">
        <f t="shared" si="5"/>
        <v>GOOD IN NOV</v>
      </c>
      <c r="CB77" s="19">
        <f t="shared" si="6"/>
        <v>37</v>
      </c>
      <c r="CC77" s="20">
        <f t="shared" si="7"/>
        <v>24</v>
      </c>
      <c r="CD77" s="23">
        <f t="shared" si="8"/>
        <v>0.6486486486</v>
      </c>
      <c r="CE77" s="24" t="str">
        <f t="shared" si="9"/>
        <v>Good in dec</v>
      </c>
      <c r="CF77" s="24" t="str">
        <f t="shared" si="10"/>
        <v>NOT CONNECT</v>
      </c>
    </row>
    <row r="78">
      <c r="A78" s="36" t="s">
        <v>165</v>
      </c>
      <c r="B78" s="37" t="s">
        <v>166</v>
      </c>
      <c r="C78" s="38">
        <v>6.30775851E9</v>
      </c>
      <c r="D78" s="36" t="s">
        <v>83</v>
      </c>
      <c r="E78" s="28">
        <f t="shared" si="11"/>
        <v>64</v>
      </c>
      <c r="F78" s="28">
        <f t="shared" si="12"/>
        <v>41</v>
      </c>
      <c r="G78" s="29">
        <f t="shared" si="13"/>
        <v>64</v>
      </c>
      <c r="H78" s="28">
        <f t="shared" si="14"/>
        <v>49</v>
      </c>
      <c r="I78" s="28">
        <f t="shared" si="15"/>
        <v>33</v>
      </c>
      <c r="J78" s="35">
        <f t="shared" si="16"/>
        <v>67.34693878</v>
      </c>
      <c r="K78" s="42"/>
      <c r="L78" s="43" t="b">
        <v>0</v>
      </c>
      <c r="M78" s="43" t="b">
        <v>0</v>
      </c>
      <c r="N78" s="43" t="b">
        <v>1</v>
      </c>
      <c r="O78" s="43" t="b">
        <v>1</v>
      </c>
      <c r="P78" s="43" t="b">
        <v>0</v>
      </c>
      <c r="Q78" s="43" t="b">
        <v>0</v>
      </c>
      <c r="R78" s="43" t="b">
        <v>1</v>
      </c>
      <c r="S78" s="43" t="b">
        <v>1</v>
      </c>
      <c r="T78" s="43" t="b">
        <v>0</v>
      </c>
      <c r="U78" s="43" t="b">
        <v>0</v>
      </c>
      <c r="V78" s="43" t="b">
        <v>1</v>
      </c>
      <c r="W78" s="43" t="b">
        <v>1</v>
      </c>
      <c r="X78" s="43" t="b">
        <v>0</v>
      </c>
      <c r="Y78" s="43" t="b">
        <v>0</v>
      </c>
      <c r="Z78" s="43" t="b">
        <v>0</v>
      </c>
      <c r="AA78" s="43" t="b">
        <v>0</v>
      </c>
      <c r="AB78" s="43" t="b">
        <v>0</v>
      </c>
      <c r="AC78" s="43" t="b">
        <v>1</v>
      </c>
      <c r="AD78" s="43" t="b">
        <v>0</v>
      </c>
      <c r="AE78" s="43" t="b">
        <v>0</v>
      </c>
      <c r="AF78" s="43" t="b">
        <v>1</v>
      </c>
      <c r="AG78" s="43" t="b">
        <v>0</v>
      </c>
      <c r="AH78" s="43" t="b">
        <v>0</v>
      </c>
      <c r="AI78" s="43" t="b">
        <v>1</v>
      </c>
      <c r="AJ78" s="43" t="b">
        <v>1</v>
      </c>
      <c r="AK78" s="43" t="b">
        <v>1</v>
      </c>
      <c r="AL78" s="43" t="b">
        <v>1</v>
      </c>
      <c r="AM78" s="43" t="b">
        <v>1</v>
      </c>
      <c r="AN78" s="43" t="b">
        <v>0</v>
      </c>
      <c r="AO78" s="43" t="b">
        <v>0</v>
      </c>
      <c r="AP78" s="43" t="b">
        <v>0</v>
      </c>
      <c r="AQ78" s="43" t="b">
        <v>0</v>
      </c>
      <c r="AR78" s="43" t="b">
        <v>0</v>
      </c>
      <c r="AS78" s="43" t="b">
        <v>1</v>
      </c>
      <c r="AT78" s="43" t="b">
        <v>1</v>
      </c>
      <c r="AU78" s="43" t="b">
        <v>1</v>
      </c>
      <c r="AV78" s="43" t="b">
        <v>1</v>
      </c>
      <c r="AW78" s="43" t="b">
        <v>1</v>
      </c>
      <c r="AX78" s="43" t="b">
        <v>1</v>
      </c>
      <c r="AY78" s="43" t="b">
        <v>1</v>
      </c>
      <c r="AZ78" s="43" t="b">
        <v>1</v>
      </c>
      <c r="BA78" s="43" t="b">
        <v>1</v>
      </c>
      <c r="BB78" s="43" t="b">
        <v>1</v>
      </c>
      <c r="BC78" s="43" t="b">
        <v>1</v>
      </c>
      <c r="BD78" s="43" t="b">
        <v>1</v>
      </c>
      <c r="BE78" s="43" t="b">
        <v>1</v>
      </c>
      <c r="BF78" s="43" t="b">
        <v>1</v>
      </c>
      <c r="BG78" s="43" t="b">
        <v>1</v>
      </c>
      <c r="BH78" s="43" t="b">
        <v>1</v>
      </c>
      <c r="BI78" s="43" t="b">
        <v>1</v>
      </c>
      <c r="BJ78" s="43" t="b">
        <v>1</v>
      </c>
      <c r="BK78" s="43" t="b">
        <v>1</v>
      </c>
      <c r="BL78" s="43" t="b">
        <v>1</v>
      </c>
      <c r="BM78" s="43" t="b">
        <v>1</v>
      </c>
      <c r="BN78" s="43" t="b">
        <v>1</v>
      </c>
      <c r="BO78" s="43" t="b">
        <v>1</v>
      </c>
      <c r="BP78" s="43" t="b">
        <v>1</v>
      </c>
      <c r="BQ78" s="43" t="b">
        <v>1</v>
      </c>
      <c r="BR78" s="43" t="b">
        <v>0</v>
      </c>
      <c r="BS78" s="43" t="b">
        <v>0</v>
      </c>
      <c r="BT78" s="40" t="b">
        <v>1</v>
      </c>
      <c r="BU78" s="40" t="b">
        <v>1</v>
      </c>
      <c r="BV78" s="40" t="b">
        <v>1</v>
      </c>
      <c r="BW78" s="40" t="b">
        <v>0</v>
      </c>
      <c r="BX78" s="19">
        <f t="shared" si="2"/>
        <v>31</v>
      </c>
      <c r="BY78" s="20">
        <f t="shared" si="3"/>
        <v>28</v>
      </c>
      <c r="BZ78" s="21">
        <f t="shared" si="4"/>
        <v>0.9032258065</v>
      </c>
      <c r="CA78" s="22" t="str">
        <f t="shared" si="5"/>
        <v>GOOD IN NOV</v>
      </c>
      <c r="CB78" s="19">
        <f t="shared" si="6"/>
        <v>37</v>
      </c>
      <c r="CC78" s="20">
        <f t="shared" si="7"/>
        <v>29</v>
      </c>
      <c r="CD78" s="23">
        <f t="shared" si="8"/>
        <v>0.7837837838</v>
      </c>
      <c r="CE78" s="24" t="str">
        <f t="shared" si="9"/>
        <v>Good in dec</v>
      </c>
      <c r="CF78" s="24" t="str">
        <f t="shared" si="10"/>
        <v>NOT CONNECT</v>
      </c>
    </row>
    <row r="79">
      <c r="A79" s="36" t="s">
        <v>167</v>
      </c>
      <c r="B79" s="37" t="s">
        <v>168</v>
      </c>
      <c r="C79" s="38">
        <v>7.705807201E9</v>
      </c>
      <c r="D79" s="36" t="s">
        <v>83</v>
      </c>
      <c r="E79" s="28">
        <f t="shared" si="11"/>
        <v>64</v>
      </c>
      <c r="F79" s="28">
        <f t="shared" si="12"/>
        <v>5</v>
      </c>
      <c r="G79" s="29">
        <f t="shared" si="13"/>
        <v>8</v>
      </c>
      <c r="H79" s="28">
        <f t="shared" si="14"/>
        <v>49</v>
      </c>
      <c r="I79" s="28">
        <f t="shared" si="15"/>
        <v>5</v>
      </c>
      <c r="J79" s="35">
        <f t="shared" si="16"/>
        <v>10.20408163</v>
      </c>
      <c r="K79" s="17"/>
      <c r="L79" s="39" t="b">
        <v>0</v>
      </c>
      <c r="M79" s="39" t="b">
        <v>0</v>
      </c>
      <c r="N79" s="39" t="b">
        <v>0</v>
      </c>
      <c r="O79" s="39" t="b">
        <v>0</v>
      </c>
      <c r="P79" s="39" t="b">
        <v>0</v>
      </c>
      <c r="Q79" s="39" t="b">
        <v>0</v>
      </c>
      <c r="R79" s="39" t="b">
        <v>0</v>
      </c>
      <c r="S79" s="39" t="b">
        <v>0</v>
      </c>
      <c r="T79" s="39" t="b">
        <v>0</v>
      </c>
      <c r="U79" s="39" t="b">
        <v>0</v>
      </c>
      <c r="V79" s="39" t="b">
        <v>0</v>
      </c>
      <c r="W79" s="39" t="b">
        <v>0</v>
      </c>
      <c r="X79" s="39" t="b">
        <v>0</v>
      </c>
      <c r="Y79" s="39" t="b">
        <v>0</v>
      </c>
      <c r="Z79" s="39" t="b">
        <v>0</v>
      </c>
      <c r="AA79" s="39" t="b">
        <v>0</v>
      </c>
      <c r="AB79" s="39" t="b">
        <v>0</v>
      </c>
      <c r="AC79" s="39" t="b">
        <v>0</v>
      </c>
      <c r="AD79" s="39" t="b">
        <v>0</v>
      </c>
      <c r="AE79" s="39" t="b">
        <v>0</v>
      </c>
      <c r="AF79" s="39" t="b">
        <v>0</v>
      </c>
      <c r="AG79" s="39" t="b">
        <v>0</v>
      </c>
      <c r="AH79" s="39" t="b">
        <v>0</v>
      </c>
      <c r="AI79" s="39" t="b">
        <v>0</v>
      </c>
      <c r="AJ79" s="39" t="b">
        <v>0</v>
      </c>
      <c r="AK79" s="39" t="b">
        <v>0</v>
      </c>
      <c r="AL79" s="39" t="b">
        <v>0</v>
      </c>
      <c r="AM79" s="39" t="b">
        <v>0</v>
      </c>
      <c r="AN79" s="39" t="b">
        <v>0</v>
      </c>
      <c r="AO79" s="39" t="b">
        <v>0</v>
      </c>
      <c r="AP79" s="39" t="b">
        <v>0</v>
      </c>
      <c r="AQ79" s="39" t="b">
        <v>0</v>
      </c>
      <c r="AR79" s="39" t="b">
        <v>0</v>
      </c>
      <c r="AS79" s="39" t="b">
        <v>0</v>
      </c>
      <c r="AT79" s="39" t="b">
        <v>0</v>
      </c>
      <c r="AU79" s="39" t="b">
        <v>0</v>
      </c>
      <c r="AV79" s="39" t="b">
        <v>0</v>
      </c>
      <c r="AW79" s="39" t="b">
        <v>0</v>
      </c>
      <c r="AX79" s="39" t="b">
        <v>0</v>
      </c>
      <c r="AY79" s="39" t="b">
        <v>0</v>
      </c>
      <c r="AZ79" s="39" t="b">
        <v>0</v>
      </c>
      <c r="BA79" s="39" t="b">
        <v>0</v>
      </c>
      <c r="BB79" s="39" t="b">
        <v>0</v>
      </c>
      <c r="BC79" s="39" t="b">
        <v>0</v>
      </c>
      <c r="BD79" s="39" t="b">
        <v>0</v>
      </c>
      <c r="BE79" s="39" t="b">
        <v>0</v>
      </c>
      <c r="BF79" s="39" t="b">
        <v>0</v>
      </c>
      <c r="BG79" s="39" t="b">
        <v>0</v>
      </c>
      <c r="BH79" s="39" t="b">
        <v>0</v>
      </c>
      <c r="BI79" s="39" t="b">
        <v>0</v>
      </c>
      <c r="BJ79" s="39" t="b">
        <v>0</v>
      </c>
      <c r="BK79" s="39" t="b">
        <v>0</v>
      </c>
      <c r="BL79" s="39" t="b">
        <v>0</v>
      </c>
      <c r="BM79" s="39" t="b">
        <v>0</v>
      </c>
      <c r="BN79" s="39" t="b">
        <v>0</v>
      </c>
      <c r="BO79" s="39" t="b">
        <v>0</v>
      </c>
      <c r="BP79" s="39" t="b">
        <v>1</v>
      </c>
      <c r="BQ79" s="39" t="b">
        <v>0</v>
      </c>
      <c r="BR79" s="39" t="b">
        <v>1</v>
      </c>
      <c r="BS79" s="39" t="b">
        <v>1</v>
      </c>
      <c r="BT79" s="40" t="b">
        <v>0</v>
      </c>
      <c r="BU79" s="40" t="b">
        <v>0</v>
      </c>
      <c r="BV79" s="40" t="b">
        <v>1</v>
      </c>
      <c r="BW79" s="40" t="b">
        <v>1</v>
      </c>
      <c r="BX79" s="19">
        <f t="shared" si="2"/>
        <v>31</v>
      </c>
      <c r="BY79" s="20">
        <f t="shared" si="3"/>
        <v>5</v>
      </c>
      <c r="BZ79" s="21">
        <f t="shared" si="4"/>
        <v>0.1612903226</v>
      </c>
      <c r="CA79" s="22" t="str">
        <f t="shared" si="5"/>
        <v>BAD IN NOV</v>
      </c>
      <c r="CB79" s="19">
        <f t="shared" si="6"/>
        <v>37</v>
      </c>
      <c r="CC79" s="20">
        <f t="shared" si="7"/>
        <v>5</v>
      </c>
      <c r="CD79" s="23">
        <f t="shared" si="8"/>
        <v>0.1351351351</v>
      </c>
      <c r="CE79" s="24" t="str">
        <f t="shared" si="9"/>
        <v>Bad in dec</v>
      </c>
      <c r="CF79" s="24" t="str">
        <f t="shared" si="10"/>
        <v>NOT CONNECT</v>
      </c>
    </row>
    <row r="80">
      <c r="A80" s="36" t="s">
        <v>169</v>
      </c>
      <c r="B80" s="37" t="s">
        <v>170</v>
      </c>
      <c r="C80" s="38">
        <v>8.7077031E9</v>
      </c>
      <c r="D80" s="36" t="s">
        <v>83</v>
      </c>
      <c r="E80" s="28">
        <f t="shared" si="11"/>
        <v>64</v>
      </c>
      <c r="F80" s="28">
        <f t="shared" si="12"/>
        <v>53</v>
      </c>
      <c r="G80" s="32">
        <f t="shared" si="13"/>
        <v>83</v>
      </c>
      <c r="H80" s="28">
        <f t="shared" si="14"/>
        <v>49</v>
      </c>
      <c r="I80" s="28">
        <f t="shared" si="15"/>
        <v>43</v>
      </c>
      <c r="J80" s="30">
        <f t="shared" si="16"/>
        <v>87.75510204</v>
      </c>
      <c r="K80" s="17"/>
      <c r="L80" s="39" t="b">
        <v>1</v>
      </c>
      <c r="M80" s="39" t="b">
        <v>1</v>
      </c>
      <c r="N80" s="39" t="b">
        <v>1</v>
      </c>
      <c r="O80" s="39" t="b">
        <v>1</v>
      </c>
      <c r="P80" s="39" t="b">
        <v>0</v>
      </c>
      <c r="Q80" s="39" t="b">
        <v>1</v>
      </c>
      <c r="R80" s="39" t="b">
        <v>1</v>
      </c>
      <c r="S80" s="39" t="b">
        <v>1</v>
      </c>
      <c r="T80" s="39" t="b">
        <v>0</v>
      </c>
      <c r="U80" s="39" t="b">
        <v>0</v>
      </c>
      <c r="V80" s="39" t="b">
        <v>1</v>
      </c>
      <c r="W80" s="39" t="b">
        <v>1</v>
      </c>
      <c r="X80" s="39" t="b">
        <v>0</v>
      </c>
      <c r="Y80" s="39" t="b">
        <v>0</v>
      </c>
      <c r="Z80" s="39" t="b">
        <v>0</v>
      </c>
      <c r="AA80" s="39" t="b">
        <v>1</v>
      </c>
      <c r="AB80" s="39" t="b">
        <v>1</v>
      </c>
      <c r="AC80" s="39" t="b">
        <v>1</v>
      </c>
      <c r="AD80" s="39" t="b">
        <v>1</v>
      </c>
      <c r="AE80" s="39" t="b">
        <v>1</v>
      </c>
      <c r="AF80" s="39" t="b">
        <v>1</v>
      </c>
      <c r="AG80" s="39" t="b">
        <v>0</v>
      </c>
      <c r="AH80" s="39" t="b">
        <v>1</v>
      </c>
      <c r="AI80" s="39" t="b">
        <v>0</v>
      </c>
      <c r="AJ80" s="39" t="b">
        <v>1</v>
      </c>
      <c r="AK80" s="39" t="b">
        <v>1</v>
      </c>
      <c r="AL80" s="39" t="b">
        <v>1</v>
      </c>
      <c r="AM80" s="39" t="b">
        <v>1</v>
      </c>
      <c r="AN80" s="39" t="b">
        <v>0</v>
      </c>
      <c r="AO80" s="39" t="b">
        <v>1</v>
      </c>
      <c r="AP80" s="39" t="b">
        <v>0</v>
      </c>
      <c r="AQ80" s="39" t="b">
        <v>1</v>
      </c>
      <c r="AR80" s="39" t="b">
        <v>1</v>
      </c>
      <c r="AS80" s="39" t="b">
        <v>0</v>
      </c>
      <c r="AT80" s="39" t="b">
        <v>1</v>
      </c>
      <c r="AU80" s="39" t="b">
        <v>1</v>
      </c>
      <c r="AV80" s="39" t="b">
        <v>1</v>
      </c>
      <c r="AW80" s="39" t="b">
        <v>1</v>
      </c>
      <c r="AX80" s="39" t="b">
        <v>1</v>
      </c>
      <c r="AY80" s="39" t="b">
        <v>1</v>
      </c>
      <c r="AZ80" s="39" t="b">
        <v>1</v>
      </c>
      <c r="BA80" s="39" t="b">
        <v>1</v>
      </c>
      <c r="BB80" s="39" t="b">
        <v>1</v>
      </c>
      <c r="BC80" s="39" t="b">
        <v>1</v>
      </c>
      <c r="BD80" s="39" t="b">
        <v>1</v>
      </c>
      <c r="BE80" s="39" t="b">
        <v>1</v>
      </c>
      <c r="BF80" s="39" t="b">
        <v>1</v>
      </c>
      <c r="BG80" s="39" t="b">
        <v>1</v>
      </c>
      <c r="BH80" s="39" t="b">
        <v>1</v>
      </c>
      <c r="BI80" s="39" t="b">
        <v>1</v>
      </c>
      <c r="BJ80" s="39" t="b">
        <v>1</v>
      </c>
      <c r="BK80" s="39" t="b">
        <v>1</v>
      </c>
      <c r="BL80" s="39" t="b">
        <v>1</v>
      </c>
      <c r="BM80" s="39" t="b">
        <v>1</v>
      </c>
      <c r="BN80" s="39" t="b">
        <v>1</v>
      </c>
      <c r="BO80" s="39" t="b">
        <v>1</v>
      </c>
      <c r="BP80" s="39" t="b">
        <v>1</v>
      </c>
      <c r="BQ80" s="39" t="b">
        <v>1</v>
      </c>
      <c r="BR80" s="39" t="b">
        <v>1</v>
      </c>
      <c r="BS80" s="39" t="b">
        <v>1</v>
      </c>
      <c r="BT80" s="40" t="b">
        <v>1</v>
      </c>
      <c r="BU80" s="40" t="b">
        <v>1</v>
      </c>
      <c r="BV80" s="40" t="b">
        <v>1</v>
      </c>
      <c r="BW80" s="40" t="b">
        <v>1</v>
      </c>
      <c r="BX80" s="19">
        <f t="shared" si="2"/>
        <v>31</v>
      </c>
      <c r="BY80" s="20">
        <f t="shared" si="3"/>
        <v>30</v>
      </c>
      <c r="BZ80" s="21">
        <f t="shared" si="4"/>
        <v>0.9677419355</v>
      </c>
      <c r="CA80" s="22" t="str">
        <f t="shared" si="5"/>
        <v>GOOD IN NOV</v>
      </c>
      <c r="CB80" s="19">
        <f t="shared" si="6"/>
        <v>37</v>
      </c>
      <c r="CC80" s="20">
        <f t="shared" si="7"/>
        <v>34</v>
      </c>
      <c r="CD80" s="23">
        <f t="shared" si="8"/>
        <v>0.9189189189</v>
      </c>
      <c r="CE80" s="24" t="str">
        <f t="shared" si="9"/>
        <v>Good in dec</v>
      </c>
      <c r="CF80" s="24" t="str">
        <f t="shared" si="10"/>
        <v>NOT CONNECT</v>
      </c>
    </row>
    <row r="81">
      <c r="A81" s="36" t="s">
        <v>171</v>
      </c>
      <c r="B81" s="37" t="s">
        <v>172</v>
      </c>
      <c r="C81" s="38">
        <v>9.555828267E9</v>
      </c>
      <c r="D81" s="36" t="s">
        <v>83</v>
      </c>
      <c r="E81" s="28">
        <f t="shared" si="11"/>
        <v>64</v>
      </c>
      <c r="F81" s="28">
        <f t="shared" si="12"/>
        <v>39</v>
      </c>
      <c r="G81" s="29">
        <f t="shared" si="13"/>
        <v>61</v>
      </c>
      <c r="H81" s="28">
        <f t="shared" si="14"/>
        <v>49</v>
      </c>
      <c r="I81" s="28">
        <f t="shared" si="15"/>
        <v>35</v>
      </c>
      <c r="J81" s="30">
        <f t="shared" si="16"/>
        <v>71.42857143</v>
      </c>
      <c r="K81" s="17"/>
      <c r="L81" s="39" t="b">
        <v>1</v>
      </c>
      <c r="M81" s="39" t="b">
        <v>0</v>
      </c>
      <c r="N81" s="39" t="b">
        <v>1</v>
      </c>
      <c r="O81" s="39" t="b">
        <v>0</v>
      </c>
      <c r="P81" s="39" t="b">
        <v>1</v>
      </c>
      <c r="Q81" s="39" t="b">
        <v>0</v>
      </c>
      <c r="R81" s="39" t="b">
        <v>0</v>
      </c>
      <c r="S81" s="39" t="b">
        <v>1</v>
      </c>
      <c r="T81" s="39" t="b">
        <v>1</v>
      </c>
      <c r="U81" s="39" t="b">
        <v>0</v>
      </c>
      <c r="V81" s="39" t="b">
        <v>0</v>
      </c>
      <c r="W81" s="39" t="b">
        <v>0</v>
      </c>
      <c r="X81" s="39" t="b">
        <v>0</v>
      </c>
      <c r="Y81" s="39" t="b">
        <v>0</v>
      </c>
      <c r="Z81" s="39" t="b">
        <v>1</v>
      </c>
      <c r="AA81" s="39" t="b">
        <v>0</v>
      </c>
      <c r="AB81" s="39" t="b">
        <v>0</v>
      </c>
      <c r="AC81" s="39" t="b">
        <v>1</v>
      </c>
      <c r="AD81" s="39" t="b">
        <v>1</v>
      </c>
      <c r="AE81" s="39" t="b">
        <v>1</v>
      </c>
      <c r="AF81" s="39" t="b">
        <v>1</v>
      </c>
      <c r="AG81" s="39" t="b">
        <v>0</v>
      </c>
      <c r="AH81" s="39" t="b">
        <v>1</v>
      </c>
      <c r="AI81" s="39" t="b">
        <v>0</v>
      </c>
      <c r="AJ81" s="39" t="b">
        <v>0</v>
      </c>
      <c r="AK81" s="39" t="b">
        <v>1</v>
      </c>
      <c r="AL81" s="39" t="b">
        <v>1</v>
      </c>
      <c r="AM81" s="39" t="b">
        <v>0</v>
      </c>
      <c r="AN81" s="39" t="b">
        <v>0</v>
      </c>
      <c r="AO81" s="39" t="b">
        <v>1</v>
      </c>
      <c r="AP81" s="39" t="b">
        <v>1</v>
      </c>
      <c r="AQ81" s="39" t="b">
        <v>0</v>
      </c>
      <c r="AR81" s="39" t="b">
        <v>0</v>
      </c>
      <c r="AS81" s="39" t="b">
        <v>1</v>
      </c>
      <c r="AT81" s="39" t="b">
        <v>1</v>
      </c>
      <c r="AU81" s="39" t="b">
        <v>1</v>
      </c>
      <c r="AV81" s="39" t="b">
        <v>1</v>
      </c>
      <c r="AW81" s="39" t="b">
        <v>0</v>
      </c>
      <c r="AX81" s="39" t="b">
        <v>1</v>
      </c>
      <c r="AY81" s="39" t="b">
        <v>0</v>
      </c>
      <c r="AZ81" s="39" t="b">
        <v>0</v>
      </c>
      <c r="BA81" s="39" t="b">
        <v>0</v>
      </c>
      <c r="BB81" s="39" t="b">
        <v>1</v>
      </c>
      <c r="BC81" s="39" t="b">
        <v>1</v>
      </c>
      <c r="BD81" s="39" t="b">
        <v>0</v>
      </c>
      <c r="BE81" s="39" t="b">
        <v>1</v>
      </c>
      <c r="BF81" s="39" t="b">
        <v>0</v>
      </c>
      <c r="BG81" s="39" t="b">
        <v>1</v>
      </c>
      <c r="BH81" s="39" t="b">
        <v>1</v>
      </c>
      <c r="BI81" s="39" t="b">
        <v>0</v>
      </c>
      <c r="BJ81" s="39" t="b">
        <v>1</v>
      </c>
      <c r="BK81" s="39" t="b">
        <v>1</v>
      </c>
      <c r="BL81" s="39" t="b">
        <v>1</v>
      </c>
      <c r="BM81" s="39" t="b">
        <v>1</v>
      </c>
      <c r="BN81" s="39" t="b">
        <v>1</v>
      </c>
      <c r="BO81" s="39" t="b">
        <v>1</v>
      </c>
      <c r="BP81" s="39" t="b">
        <v>1</v>
      </c>
      <c r="BQ81" s="39" t="b">
        <v>1</v>
      </c>
      <c r="BR81" s="39" t="b">
        <v>1</v>
      </c>
      <c r="BS81" s="39" t="b">
        <v>1</v>
      </c>
      <c r="BT81" s="40" t="b">
        <v>1</v>
      </c>
      <c r="BU81" s="40" t="b">
        <v>1</v>
      </c>
      <c r="BV81" s="40" t="b">
        <v>1</v>
      </c>
      <c r="BW81" s="40" t="b">
        <v>1</v>
      </c>
      <c r="BX81" s="19">
        <f t="shared" si="2"/>
        <v>31</v>
      </c>
      <c r="BY81" s="20">
        <f t="shared" si="3"/>
        <v>24</v>
      </c>
      <c r="BZ81" s="21">
        <f t="shared" si="4"/>
        <v>0.7741935484</v>
      </c>
      <c r="CA81" s="22" t="str">
        <f t="shared" si="5"/>
        <v>GOOD IN NOV</v>
      </c>
      <c r="CB81" s="19">
        <f t="shared" si="6"/>
        <v>37</v>
      </c>
      <c r="CC81" s="20">
        <f t="shared" si="7"/>
        <v>26</v>
      </c>
      <c r="CD81" s="23">
        <f t="shared" si="8"/>
        <v>0.7027027027</v>
      </c>
      <c r="CE81" s="24" t="str">
        <f t="shared" si="9"/>
        <v>Good in dec</v>
      </c>
      <c r="CF81" s="24" t="str">
        <f t="shared" si="10"/>
        <v>NOT CONNECT</v>
      </c>
    </row>
    <row r="82">
      <c r="A82" s="36" t="s">
        <v>173</v>
      </c>
      <c r="B82" s="37" t="s">
        <v>174</v>
      </c>
      <c r="C82" s="38">
        <v>6.388429094E9</v>
      </c>
      <c r="D82" s="36" t="s">
        <v>83</v>
      </c>
      <c r="E82" s="28">
        <f t="shared" si="11"/>
        <v>64</v>
      </c>
      <c r="F82" s="28">
        <f t="shared" si="12"/>
        <v>58</v>
      </c>
      <c r="G82" s="32">
        <f t="shared" si="13"/>
        <v>91</v>
      </c>
      <c r="H82" s="28">
        <f t="shared" si="14"/>
        <v>49</v>
      </c>
      <c r="I82" s="28">
        <f t="shared" si="15"/>
        <v>46</v>
      </c>
      <c r="J82" s="30">
        <f t="shared" si="16"/>
        <v>93.87755102</v>
      </c>
      <c r="K82" s="17"/>
      <c r="L82" s="39" t="b">
        <v>1</v>
      </c>
      <c r="M82" s="39" t="b">
        <v>1</v>
      </c>
      <c r="N82" s="39" t="b">
        <v>1</v>
      </c>
      <c r="O82" s="39" t="b">
        <v>1</v>
      </c>
      <c r="P82" s="39" t="b">
        <v>1</v>
      </c>
      <c r="Q82" s="39" t="b">
        <v>1</v>
      </c>
      <c r="R82" s="39" t="b">
        <v>1</v>
      </c>
      <c r="S82" s="39" t="b">
        <v>0</v>
      </c>
      <c r="T82" s="39" t="b">
        <v>0</v>
      </c>
      <c r="U82" s="39" t="b">
        <v>1</v>
      </c>
      <c r="V82" s="39" t="b">
        <v>1</v>
      </c>
      <c r="W82" s="39" t="b">
        <v>1</v>
      </c>
      <c r="X82" s="39" t="b">
        <v>0</v>
      </c>
      <c r="Y82" s="39" t="b">
        <v>0</v>
      </c>
      <c r="Z82" s="39" t="b">
        <v>1</v>
      </c>
      <c r="AA82" s="39" t="b">
        <v>1</v>
      </c>
      <c r="AB82" s="39" t="b">
        <v>1</v>
      </c>
      <c r="AC82" s="39" t="b">
        <v>1</v>
      </c>
      <c r="AD82" s="39" t="b">
        <v>1</v>
      </c>
      <c r="AE82" s="39" t="b">
        <v>1</v>
      </c>
      <c r="AF82" s="39" t="b">
        <v>1</v>
      </c>
      <c r="AG82" s="39" t="b">
        <v>0</v>
      </c>
      <c r="AH82" s="39" t="b">
        <v>1</v>
      </c>
      <c r="AI82" s="39" t="b">
        <v>1</v>
      </c>
      <c r="AJ82" s="39" t="b">
        <v>1</v>
      </c>
      <c r="AK82" s="39" t="b">
        <v>1</v>
      </c>
      <c r="AL82" s="39" t="b">
        <v>1</v>
      </c>
      <c r="AM82" s="39" t="b">
        <v>1</v>
      </c>
      <c r="AN82" s="39" t="b">
        <v>0</v>
      </c>
      <c r="AO82" s="39" t="b">
        <v>1</v>
      </c>
      <c r="AP82" s="39" t="b">
        <v>1</v>
      </c>
      <c r="AQ82" s="39" t="b">
        <v>1</v>
      </c>
      <c r="AR82" s="39" t="b">
        <v>1</v>
      </c>
      <c r="AS82" s="39" t="b">
        <v>1</v>
      </c>
      <c r="AT82" s="39" t="b">
        <v>1</v>
      </c>
      <c r="AU82" s="39" t="b">
        <v>1</v>
      </c>
      <c r="AV82" s="39" t="b">
        <v>1</v>
      </c>
      <c r="AW82" s="39" t="b">
        <v>1</v>
      </c>
      <c r="AX82" s="39" t="b">
        <v>1</v>
      </c>
      <c r="AY82" s="39" t="b">
        <v>1</v>
      </c>
      <c r="AZ82" s="39" t="b">
        <v>1</v>
      </c>
      <c r="BA82" s="39" t="b">
        <v>1</v>
      </c>
      <c r="BB82" s="39" t="b">
        <v>1</v>
      </c>
      <c r="BC82" s="39" t="b">
        <v>1</v>
      </c>
      <c r="BD82" s="39" t="b">
        <v>1</v>
      </c>
      <c r="BE82" s="39" t="b">
        <v>1</v>
      </c>
      <c r="BF82" s="39" t="b">
        <v>1</v>
      </c>
      <c r="BG82" s="39" t="b">
        <v>1</v>
      </c>
      <c r="BH82" s="39" t="b">
        <v>1</v>
      </c>
      <c r="BI82" s="39" t="b">
        <v>1</v>
      </c>
      <c r="BJ82" s="39" t="b">
        <v>1</v>
      </c>
      <c r="BK82" s="39" t="b">
        <v>1</v>
      </c>
      <c r="BL82" s="39" t="b">
        <v>1</v>
      </c>
      <c r="BM82" s="39" t="b">
        <v>1</v>
      </c>
      <c r="BN82" s="39" t="b">
        <v>1</v>
      </c>
      <c r="BO82" s="39" t="b">
        <v>1</v>
      </c>
      <c r="BP82" s="39" t="b">
        <v>1</v>
      </c>
      <c r="BQ82" s="39" t="b">
        <v>1</v>
      </c>
      <c r="BR82" s="39" t="b">
        <v>1</v>
      </c>
      <c r="BS82" s="39" t="b">
        <v>1</v>
      </c>
      <c r="BT82" s="40" t="b">
        <v>1</v>
      </c>
      <c r="BU82" s="40" t="b">
        <v>1</v>
      </c>
      <c r="BV82" s="40" t="b">
        <v>1</v>
      </c>
      <c r="BW82" s="40" t="b">
        <v>1</v>
      </c>
      <c r="BX82" s="19">
        <f t="shared" si="2"/>
        <v>31</v>
      </c>
      <c r="BY82" s="20">
        <f t="shared" si="3"/>
        <v>31</v>
      </c>
      <c r="BZ82" s="21">
        <f t="shared" si="4"/>
        <v>1</v>
      </c>
      <c r="CA82" s="22" t="str">
        <f t="shared" si="5"/>
        <v>GOOD IN NOV</v>
      </c>
      <c r="CB82" s="19">
        <f t="shared" si="6"/>
        <v>37</v>
      </c>
      <c r="CC82" s="20">
        <f t="shared" si="7"/>
        <v>36</v>
      </c>
      <c r="CD82" s="23">
        <f t="shared" si="8"/>
        <v>0.972972973</v>
      </c>
      <c r="CE82" s="24" t="str">
        <f t="shared" si="9"/>
        <v>Good in dec</v>
      </c>
      <c r="CF82" s="24" t="str">
        <f t="shared" si="10"/>
        <v>NOT CONNECT</v>
      </c>
    </row>
    <row r="83">
      <c r="A83" s="36" t="s">
        <v>175</v>
      </c>
      <c r="B83" s="37" t="s">
        <v>176</v>
      </c>
      <c r="C83" s="38">
        <v>8.30307408E9</v>
      </c>
      <c r="D83" s="36" t="s">
        <v>83</v>
      </c>
      <c r="E83" s="28">
        <f t="shared" si="11"/>
        <v>64</v>
      </c>
      <c r="F83" s="28">
        <f t="shared" si="12"/>
        <v>31</v>
      </c>
      <c r="G83" s="29">
        <f t="shared" si="13"/>
        <v>48</v>
      </c>
      <c r="H83" s="28">
        <f t="shared" si="14"/>
        <v>49</v>
      </c>
      <c r="I83" s="28">
        <f t="shared" si="15"/>
        <v>26</v>
      </c>
      <c r="J83" s="35">
        <f t="shared" si="16"/>
        <v>53.06122449</v>
      </c>
      <c r="K83" s="17"/>
      <c r="L83" s="39" t="b">
        <v>0</v>
      </c>
      <c r="M83" s="39" t="b">
        <v>0</v>
      </c>
      <c r="N83" s="39" t="b">
        <v>0</v>
      </c>
      <c r="O83" s="39" t="b">
        <v>1</v>
      </c>
      <c r="P83" s="39" t="b">
        <v>0</v>
      </c>
      <c r="Q83" s="39" t="b">
        <v>0</v>
      </c>
      <c r="R83" s="39" t="b">
        <v>1</v>
      </c>
      <c r="S83" s="39" t="b">
        <v>1</v>
      </c>
      <c r="T83" s="39" t="b">
        <v>0</v>
      </c>
      <c r="U83" s="39" t="b">
        <v>0</v>
      </c>
      <c r="V83" s="39" t="b">
        <v>0</v>
      </c>
      <c r="W83" s="39" t="b">
        <v>0</v>
      </c>
      <c r="X83" s="39" t="b">
        <v>0</v>
      </c>
      <c r="Y83" s="39" t="b">
        <v>0</v>
      </c>
      <c r="Z83" s="39" t="b">
        <v>0</v>
      </c>
      <c r="AA83" s="39" t="b">
        <v>0</v>
      </c>
      <c r="AB83" s="39" t="b">
        <v>0</v>
      </c>
      <c r="AC83" s="39" t="b">
        <v>0</v>
      </c>
      <c r="AD83" s="39" t="b">
        <v>0</v>
      </c>
      <c r="AE83" s="39" t="b">
        <v>0</v>
      </c>
      <c r="AF83" s="39" t="b">
        <v>0</v>
      </c>
      <c r="AG83" s="39" t="b">
        <v>0</v>
      </c>
      <c r="AH83" s="39" t="b">
        <v>0</v>
      </c>
      <c r="AI83" s="39" t="b">
        <v>1</v>
      </c>
      <c r="AJ83" s="39" t="b">
        <v>1</v>
      </c>
      <c r="AK83" s="39" t="b">
        <v>1</v>
      </c>
      <c r="AL83" s="39" t="b">
        <v>1</v>
      </c>
      <c r="AM83" s="39" t="b">
        <v>0</v>
      </c>
      <c r="AN83" s="39" t="b">
        <v>0</v>
      </c>
      <c r="AO83" s="39" t="b">
        <v>1</v>
      </c>
      <c r="AP83" s="39" t="b">
        <v>0</v>
      </c>
      <c r="AQ83" s="39" t="b">
        <v>0</v>
      </c>
      <c r="AR83" s="39" t="b">
        <v>1</v>
      </c>
      <c r="AS83" s="39" t="b">
        <v>1</v>
      </c>
      <c r="AT83" s="39" t="b">
        <v>0</v>
      </c>
      <c r="AU83" s="39" t="b">
        <v>0</v>
      </c>
      <c r="AV83" s="39" t="b">
        <v>1</v>
      </c>
      <c r="AW83" s="39" t="b">
        <v>0</v>
      </c>
      <c r="AX83" s="39" t="b">
        <v>0</v>
      </c>
      <c r="AY83" s="39" t="b">
        <v>1</v>
      </c>
      <c r="AZ83" s="39" t="b">
        <v>1</v>
      </c>
      <c r="BA83" s="39" t="b">
        <v>1</v>
      </c>
      <c r="BB83" s="39" t="b">
        <v>0</v>
      </c>
      <c r="BC83" s="39" t="b">
        <v>0</v>
      </c>
      <c r="BD83" s="39" t="b">
        <v>0</v>
      </c>
      <c r="BE83" s="39" t="b">
        <v>1</v>
      </c>
      <c r="BF83" s="39" t="b">
        <v>1</v>
      </c>
      <c r="BG83" s="39" t="b">
        <v>1</v>
      </c>
      <c r="BH83" s="39" t="b">
        <v>1</v>
      </c>
      <c r="BI83" s="39" t="b">
        <v>1</v>
      </c>
      <c r="BJ83" s="39" t="b">
        <v>1</v>
      </c>
      <c r="BK83" s="39" t="b">
        <v>1</v>
      </c>
      <c r="BL83" s="39" t="b">
        <v>1</v>
      </c>
      <c r="BM83" s="39" t="b">
        <v>1</v>
      </c>
      <c r="BN83" s="39" t="b">
        <v>0</v>
      </c>
      <c r="BO83" s="39" t="b">
        <v>1</v>
      </c>
      <c r="BP83" s="39" t="b">
        <v>1</v>
      </c>
      <c r="BQ83" s="39" t="b">
        <v>1</v>
      </c>
      <c r="BR83" s="39" t="b">
        <v>1</v>
      </c>
      <c r="BS83" s="39" t="b">
        <v>1</v>
      </c>
      <c r="BT83" s="40" t="b">
        <v>1</v>
      </c>
      <c r="BU83" s="40" t="b">
        <v>0</v>
      </c>
      <c r="BV83" s="40" t="b">
        <v>1</v>
      </c>
      <c r="BW83" s="40" t="b">
        <v>1</v>
      </c>
      <c r="BX83" s="19">
        <f t="shared" si="2"/>
        <v>31</v>
      </c>
      <c r="BY83" s="20">
        <f t="shared" si="3"/>
        <v>22</v>
      </c>
      <c r="BZ83" s="21">
        <f t="shared" si="4"/>
        <v>0.7096774194</v>
      </c>
      <c r="CA83" s="22" t="str">
        <f t="shared" si="5"/>
        <v>GOOD IN NOV</v>
      </c>
      <c r="CB83" s="19">
        <f t="shared" si="6"/>
        <v>37</v>
      </c>
      <c r="CC83" s="20">
        <f t="shared" si="7"/>
        <v>24</v>
      </c>
      <c r="CD83" s="23">
        <f t="shared" si="8"/>
        <v>0.6486486486</v>
      </c>
      <c r="CE83" s="24" t="str">
        <f t="shared" si="9"/>
        <v>Good in dec</v>
      </c>
      <c r="CF83" s="24" t="str">
        <f t="shared" si="10"/>
        <v>NOT CONNECT</v>
      </c>
    </row>
    <row r="84">
      <c r="A84" s="36" t="s">
        <v>177</v>
      </c>
      <c r="B84" s="37" t="s">
        <v>178</v>
      </c>
      <c r="C84" s="38">
        <v>9.984173403E9</v>
      </c>
      <c r="D84" s="36" t="s">
        <v>83</v>
      </c>
      <c r="E84" s="28">
        <f t="shared" si="11"/>
        <v>64</v>
      </c>
      <c r="F84" s="28">
        <f t="shared" si="12"/>
        <v>32</v>
      </c>
      <c r="G84" s="29">
        <f t="shared" si="13"/>
        <v>50</v>
      </c>
      <c r="H84" s="28">
        <f t="shared" si="14"/>
        <v>49</v>
      </c>
      <c r="I84" s="28">
        <f t="shared" si="15"/>
        <v>25</v>
      </c>
      <c r="J84" s="35">
        <f t="shared" si="16"/>
        <v>51.02040816</v>
      </c>
      <c r="K84" s="17"/>
      <c r="L84" s="39" t="b">
        <v>0</v>
      </c>
      <c r="M84" s="39" t="b">
        <v>0</v>
      </c>
      <c r="N84" s="39" t="b">
        <v>1</v>
      </c>
      <c r="O84" s="39" t="b">
        <v>0</v>
      </c>
      <c r="P84" s="39" t="b">
        <v>0</v>
      </c>
      <c r="Q84" s="39" t="b">
        <v>0</v>
      </c>
      <c r="R84" s="39" t="b">
        <v>1</v>
      </c>
      <c r="S84" s="39" t="b">
        <v>1</v>
      </c>
      <c r="T84" s="39" t="b">
        <v>0</v>
      </c>
      <c r="U84" s="39" t="b">
        <v>0</v>
      </c>
      <c r="V84" s="39" t="b">
        <v>0</v>
      </c>
      <c r="W84" s="39" t="b">
        <v>0</v>
      </c>
      <c r="X84" s="39" t="b">
        <v>0</v>
      </c>
      <c r="Y84" s="39" t="b">
        <v>0</v>
      </c>
      <c r="Z84" s="39" t="b">
        <v>0</v>
      </c>
      <c r="AA84" s="39" t="b">
        <v>1</v>
      </c>
      <c r="AB84" s="39" t="b">
        <v>1</v>
      </c>
      <c r="AC84" s="39" t="b">
        <v>0</v>
      </c>
      <c r="AD84" s="39" t="b">
        <v>1</v>
      </c>
      <c r="AE84" s="39" t="b">
        <v>1</v>
      </c>
      <c r="AF84" s="39" t="b">
        <v>1</v>
      </c>
      <c r="AG84" s="39" t="b">
        <v>0</v>
      </c>
      <c r="AH84" s="39" t="b">
        <v>1</v>
      </c>
      <c r="AI84" s="39" t="b">
        <v>1</v>
      </c>
      <c r="AJ84" s="39" t="b">
        <v>0</v>
      </c>
      <c r="AK84" s="39" t="b">
        <v>0</v>
      </c>
      <c r="AL84" s="39" t="b">
        <v>1</v>
      </c>
      <c r="AM84" s="39" t="b">
        <v>0</v>
      </c>
      <c r="AN84" s="39" t="b">
        <v>0</v>
      </c>
      <c r="AO84" s="39" t="b">
        <v>1</v>
      </c>
      <c r="AP84" s="39" t="b">
        <v>1</v>
      </c>
      <c r="AQ84" s="39" t="b">
        <v>0</v>
      </c>
      <c r="AR84" s="39" t="b">
        <v>1</v>
      </c>
      <c r="AS84" s="39" t="b">
        <v>0</v>
      </c>
      <c r="AT84" s="39" t="b">
        <v>1</v>
      </c>
      <c r="AU84" s="39" t="b">
        <v>1</v>
      </c>
      <c r="AV84" s="39" t="b">
        <v>1</v>
      </c>
      <c r="AW84" s="39" t="b">
        <v>1</v>
      </c>
      <c r="AX84" s="39" t="b">
        <v>1</v>
      </c>
      <c r="AY84" s="39" t="b">
        <v>1</v>
      </c>
      <c r="AZ84" s="39" t="b">
        <v>0</v>
      </c>
      <c r="BA84" s="39" t="b">
        <v>0</v>
      </c>
      <c r="BB84" s="39" t="b">
        <v>1</v>
      </c>
      <c r="BC84" s="39" t="b">
        <v>0</v>
      </c>
      <c r="BD84" s="39" t="b">
        <v>1</v>
      </c>
      <c r="BE84" s="39" t="b">
        <v>0</v>
      </c>
      <c r="BF84" s="39" t="b">
        <v>1</v>
      </c>
      <c r="BG84" s="39" t="b">
        <v>1</v>
      </c>
      <c r="BH84" s="39" t="b">
        <v>1</v>
      </c>
      <c r="BI84" s="39" t="b">
        <v>1</v>
      </c>
      <c r="BJ84" s="39" t="b">
        <v>1</v>
      </c>
      <c r="BK84" s="39" t="b">
        <v>0</v>
      </c>
      <c r="BL84" s="39" t="b">
        <v>0</v>
      </c>
      <c r="BM84" s="39" t="b">
        <v>1</v>
      </c>
      <c r="BN84" s="39" t="b">
        <v>1</v>
      </c>
      <c r="BO84" s="39" t="b">
        <v>1</v>
      </c>
      <c r="BP84" s="39" t="b">
        <v>0</v>
      </c>
      <c r="BQ84" s="39" t="b">
        <v>0</v>
      </c>
      <c r="BR84" s="39" t="b">
        <v>1</v>
      </c>
      <c r="BS84" s="39" t="b">
        <v>0</v>
      </c>
      <c r="BT84" s="40" t="b">
        <v>0</v>
      </c>
      <c r="BU84" s="40" t="b">
        <v>1</v>
      </c>
      <c r="BV84" s="40" t="b">
        <v>0</v>
      </c>
      <c r="BW84" s="40" t="b">
        <v>0</v>
      </c>
      <c r="BX84" s="19">
        <f t="shared" si="2"/>
        <v>31</v>
      </c>
      <c r="BY84" s="20">
        <f t="shared" si="3"/>
        <v>18</v>
      </c>
      <c r="BZ84" s="21">
        <f t="shared" si="4"/>
        <v>0.5806451613</v>
      </c>
      <c r="CA84" s="22" t="str">
        <f t="shared" si="5"/>
        <v>BAD IN NOV</v>
      </c>
      <c r="CB84" s="19">
        <f t="shared" si="6"/>
        <v>37</v>
      </c>
      <c r="CC84" s="20">
        <f t="shared" si="7"/>
        <v>21</v>
      </c>
      <c r="CD84" s="23">
        <f t="shared" si="8"/>
        <v>0.5675675676</v>
      </c>
      <c r="CE84" s="24" t="str">
        <f t="shared" si="9"/>
        <v>Good in dec</v>
      </c>
      <c r="CF84" s="24" t="str">
        <f t="shared" si="10"/>
        <v>NOT CONNECT</v>
      </c>
    </row>
    <row r="85">
      <c r="A85" s="36" t="s">
        <v>179</v>
      </c>
      <c r="B85" s="37" t="s">
        <v>180</v>
      </c>
      <c r="C85" s="38">
        <v>6.39226888E9</v>
      </c>
      <c r="D85" s="36" t="s">
        <v>83</v>
      </c>
      <c r="E85" s="28">
        <f t="shared" si="11"/>
        <v>64</v>
      </c>
      <c r="F85" s="28">
        <f t="shared" si="12"/>
        <v>55</v>
      </c>
      <c r="G85" s="32">
        <f t="shared" si="13"/>
        <v>86</v>
      </c>
      <c r="H85" s="28">
        <f t="shared" si="14"/>
        <v>49</v>
      </c>
      <c r="I85" s="28">
        <f t="shared" si="15"/>
        <v>44</v>
      </c>
      <c r="J85" s="30">
        <f t="shared" si="16"/>
        <v>89.79591837</v>
      </c>
      <c r="K85" s="17"/>
      <c r="L85" s="39" t="b">
        <v>0</v>
      </c>
      <c r="M85" s="39" t="b">
        <v>1</v>
      </c>
      <c r="N85" s="39" t="b">
        <v>1</v>
      </c>
      <c r="O85" s="39" t="b">
        <v>1</v>
      </c>
      <c r="P85" s="39" t="b">
        <v>1</v>
      </c>
      <c r="Q85" s="39" t="b">
        <v>1</v>
      </c>
      <c r="R85" s="39" t="b">
        <v>1</v>
      </c>
      <c r="S85" s="39" t="b">
        <v>1</v>
      </c>
      <c r="T85" s="39" t="b">
        <v>0</v>
      </c>
      <c r="U85" s="39" t="b">
        <v>0</v>
      </c>
      <c r="V85" s="39" t="b">
        <v>1</v>
      </c>
      <c r="W85" s="39" t="b">
        <v>1</v>
      </c>
      <c r="X85" s="39" t="b">
        <v>1</v>
      </c>
      <c r="Y85" s="39" t="b">
        <v>1</v>
      </c>
      <c r="Z85" s="39" t="b">
        <v>1</v>
      </c>
      <c r="AA85" s="39" t="b">
        <v>1</v>
      </c>
      <c r="AB85" s="39" t="b">
        <v>1</v>
      </c>
      <c r="AC85" s="39" t="b">
        <v>1</v>
      </c>
      <c r="AD85" s="39" t="b">
        <v>1</v>
      </c>
      <c r="AE85" s="39" t="b">
        <v>1</v>
      </c>
      <c r="AF85" s="39" t="b">
        <v>1</v>
      </c>
      <c r="AG85" s="39" t="b">
        <v>0</v>
      </c>
      <c r="AH85" s="39" t="b">
        <v>1</v>
      </c>
      <c r="AI85" s="39" t="b">
        <v>1</v>
      </c>
      <c r="AJ85" s="39" t="b">
        <v>1</v>
      </c>
      <c r="AK85" s="39" t="b">
        <v>1</v>
      </c>
      <c r="AL85" s="39" t="b">
        <v>1</v>
      </c>
      <c r="AM85" s="39" t="b">
        <v>1</v>
      </c>
      <c r="AN85" s="39" t="b">
        <v>0</v>
      </c>
      <c r="AO85" s="39" t="b">
        <v>1</v>
      </c>
      <c r="AP85" s="39" t="b">
        <v>0</v>
      </c>
      <c r="AQ85" s="39" t="b">
        <v>1</v>
      </c>
      <c r="AR85" s="39" t="b">
        <v>1</v>
      </c>
      <c r="AS85" s="39" t="b">
        <v>0</v>
      </c>
      <c r="AT85" s="39" t="b">
        <v>1</v>
      </c>
      <c r="AU85" s="39" t="b">
        <v>1</v>
      </c>
      <c r="AV85" s="39" t="b">
        <v>0</v>
      </c>
      <c r="AW85" s="39" t="b">
        <v>1</v>
      </c>
      <c r="AX85" s="39" t="b">
        <v>1</v>
      </c>
      <c r="AY85" s="39" t="b">
        <v>1</v>
      </c>
      <c r="AZ85" s="39" t="b">
        <v>1</v>
      </c>
      <c r="BA85" s="39" t="b">
        <v>1</v>
      </c>
      <c r="BB85" s="39" t="b">
        <v>1</v>
      </c>
      <c r="BC85" s="39" t="b">
        <v>0</v>
      </c>
      <c r="BD85" s="39" t="b">
        <v>1</v>
      </c>
      <c r="BE85" s="39" t="b">
        <v>1</v>
      </c>
      <c r="BF85" s="39" t="b">
        <v>1</v>
      </c>
      <c r="BG85" s="39" t="b">
        <v>1</v>
      </c>
      <c r="BH85" s="39" t="b">
        <v>1</v>
      </c>
      <c r="BI85" s="39" t="b">
        <v>1</v>
      </c>
      <c r="BJ85" s="39" t="b">
        <v>1</v>
      </c>
      <c r="BK85" s="39" t="b">
        <v>1</v>
      </c>
      <c r="BL85" s="39" t="b">
        <v>1</v>
      </c>
      <c r="BM85" s="39" t="b">
        <v>1</v>
      </c>
      <c r="BN85" s="39" t="b">
        <v>1</v>
      </c>
      <c r="BO85" s="39" t="b">
        <v>1</v>
      </c>
      <c r="BP85" s="39" t="b">
        <v>1</v>
      </c>
      <c r="BQ85" s="39" t="b">
        <v>1</v>
      </c>
      <c r="BR85" s="39" t="b">
        <v>1</v>
      </c>
      <c r="BS85" s="39" t="b">
        <v>1</v>
      </c>
      <c r="BT85" s="40" t="b">
        <v>1</v>
      </c>
      <c r="BU85" s="40" t="b">
        <v>1</v>
      </c>
      <c r="BV85" s="40" t="b">
        <v>1</v>
      </c>
      <c r="BW85" s="40" t="b">
        <v>1</v>
      </c>
      <c r="BX85" s="19">
        <f t="shared" si="2"/>
        <v>31</v>
      </c>
      <c r="BY85" s="20">
        <f t="shared" si="3"/>
        <v>28</v>
      </c>
      <c r="BZ85" s="21">
        <f t="shared" si="4"/>
        <v>0.9032258065</v>
      </c>
      <c r="CA85" s="22" t="str">
        <f t="shared" si="5"/>
        <v>GOOD IN NOV</v>
      </c>
      <c r="CB85" s="19">
        <f t="shared" si="6"/>
        <v>37</v>
      </c>
      <c r="CC85" s="20">
        <f t="shared" si="7"/>
        <v>32</v>
      </c>
      <c r="CD85" s="23">
        <f t="shared" si="8"/>
        <v>0.8648648649</v>
      </c>
      <c r="CE85" s="24" t="str">
        <f t="shared" si="9"/>
        <v>Good in dec</v>
      </c>
      <c r="CF85" s="24" t="str">
        <f t="shared" si="10"/>
        <v>NOT CONNECT</v>
      </c>
    </row>
    <row r="86">
      <c r="A86" s="36" t="s">
        <v>181</v>
      </c>
      <c r="B86" s="37" t="s">
        <v>182</v>
      </c>
      <c r="C86" s="38">
        <v>8.887505865E9</v>
      </c>
      <c r="D86" s="36" t="s">
        <v>83</v>
      </c>
      <c r="E86" s="28">
        <f t="shared" si="11"/>
        <v>64</v>
      </c>
      <c r="F86" s="28">
        <f t="shared" si="12"/>
        <v>42</v>
      </c>
      <c r="G86" s="29">
        <f t="shared" si="13"/>
        <v>66</v>
      </c>
      <c r="H86" s="28">
        <f t="shared" si="14"/>
        <v>49</v>
      </c>
      <c r="I86" s="28">
        <f t="shared" si="15"/>
        <v>34</v>
      </c>
      <c r="J86" s="35">
        <f t="shared" si="16"/>
        <v>69.3877551</v>
      </c>
      <c r="K86" s="17"/>
      <c r="L86" s="39" t="b">
        <v>1</v>
      </c>
      <c r="M86" s="39" t="b">
        <v>1</v>
      </c>
      <c r="N86" s="39" t="b">
        <v>1</v>
      </c>
      <c r="O86" s="39" t="b">
        <v>1</v>
      </c>
      <c r="P86" s="39" t="b">
        <v>1</v>
      </c>
      <c r="Q86" s="39" t="b">
        <v>1</v>
      </c>
      <c r="R86" s="39" t="b">
        <v>1</v>
      </c>
      <c r="S86" s="39" t="b">
        <v>1</v>
      </c>
      <c r="T86" s="39" t="b">
        <v>1</v>
      </c>
      <c r="U86" s="39" t="b">
        <v>1</v>
      </c>
      <c r="V86" s="39" t="b">
        <v>1</v>
      </c>
      <c r="W86" s="39" t="b">
        <v>0</v>
      </c>
      <c r="X86" s="39" t="b">
        <v>0</v>
      </c>
      <c r="Y86" s="39" t="b">
        <v>0</v>
      </c>
      <c r="Z86" s="39" t="b">
        <v>0</v>
      </c>
      <c r="AA86" s="39" t="b">
        <v>0</v>
      </c>
      <c r="AB86" s="39" t="b">
        <v>0</v>
      </c>
      <c r="AC86" s="39" t="b">
        <v>0</v>
      </c>
      <c r="AD86" s="39" t="b">
        <v>1</v>
      </c>
      <c r="AE86" s="39" t="b">
        <v>1</v>
      </c>
      <c r="AF86" s="39" t="b">
        <v>1</v>
      </c>
      <c r="AG86" s="39" t="b">
        <v>1</v>
      </c>
      <c r="AH86" s="39" t="b">
        <v>1</v>
      </c>
      <c r="AI86" s="39" t="b">
        <v>1</v>
      </c>
      <c r="AJ86" s="39" t="b">
        <v>1</v>
      </c>
      <c r="AK86" s="39" t="b">
        <v>1</v>
      </c>
      <c r="AL86" s="39" t="b">
        <v>0</v>
      </c>
      <c r="AM86" s="39" t="b">
        <v>0</v>
      </c>
      <c r="AN86" s="39" t="b">
        <v>0</v>
      </c>
      <c r="AO86" s="39" t="b">
        <v>0</v>
      </c>
      <c r="AP86" s="39" t="b">
        <v>0</v>
      </c>
      <c r="AQ86" s="39" t="b">
        <v>0</v>
      </c>
      <c r="AR86" s="39" t="b">
        <v>1</v>
      </c>
      <c r="AS86" s="39" t="b">
        <v>1</v>
      </c>
      <c r="AT86" s="39" t="b">
        <v>1</v>
      </c>
      <c r="AU86" s="39" t="b">
        <v>1</v>
      </c>
      <c r="AV86" s="39" t="b">
        <v>1</v>
      </c>
      <c r="AW86" s="39" t="b">
        <v>1</v>
      </c>
      <c r="AX86" s="39" t="b">
        <v>1</v>
      </c>
      <c r="AY86" s="39" t="b">
        <v>1</v>
      </c>
      <c r="AZ86" s="39" t="b">
        <v>0</v>
      </c>
      <c r="BA86" s="39" t="b">
        <v>0</v>
      </c>
      <c r="BB86" s="39" t="b">
        <v>1</v>
      </c>
      <c r="BC86" s="39" t="b">
        <v>1</v>
      </c>
      <c r="BD86" s="39" t="b">
        <v>0</v>
      </c>
      <c r="BE86" s="39" t="b">
        <v>1</v>
      </c>
      <c r="BF86" s="39" t="b">
        <v>1</v>
      </c>
      <c r="BG86" s="39" t="b">
        <v>1</v>
      </c>
      <c r="BH86" s="39" t="b">
        <v>0</v>
      </c>
      <c r="BI86" s="39" t="b">
        <v>0</v>
      </c>
      <c r="BJ86" s="39" t="b">
        <v>0</v>
      </c>
      <c r="BK86" s="39" t="b">
        <v>0</v>
      </c>
      <c r="BL86" s="39" t="b">
        <v>0</v>
      </c>
      <c r="BM86" s="39" t="b">
        <v>1</v>
      </c>
      <c r="BN86" s="39" t="b">
        <v>0</v>
      </c>
      <c r="BO86" s="39" t="b">
        <v>1</v>
      </c>
      <c r="BP86" s="39" t="b">
        <v>1</v>
      </c>
      <c r="BQ86" s="39" t="b">
        <v>1</v>
      </c>
      <c r="BR86" s="39" t="b">
        <v>1</v>
      </c>
      <c r="BS86" s="39" t="b">
        <v>1</v>
      </c>
      <c r="BT86" s="40" t="b">
        <v>1</v>
      </c>
      <c r="BU86" s="40" t="b">
        <v>1</v>
      </c>
      <c r="BV86" s="40" t="b">
        <v>1</v>
      </c>
      <c r="BW86" s="40" t="b">
        <v>1</v>
      </c>
      <c r="BX86" s="19">
        <f t="shared" si="2"/>
        <v>31</v>
      </c>
      <c r="BY86" s="20">
        <f t="shared" si="3"/>
        <v>22</v>
      </c>
      <c r="BZ86" s="21">
        <f t="shared" si="4"/>
        <v>0.7096774194</v>
      </c>
      <c r="CA86" s="22" t="str">
        <f t="shared" si="5"/>
        <v>GOOD IN NOV</v>
      </c>
      <c r="CB86" s="19">
        <f t="shared" si="6"/>
        <v>37</v>
      </c>
      <c r="CC86" s="20">
        <f t="shared" si="7"/>
        <v>23</v>
      </c>
      <c r="CD86" s="23">
        <f t="shared" si="8"/>
        <v>0.6216216216</v>
      </c>
      <c r="CE86" s="24" t="str">
        <f t="shared" si="9"/>
        <v>Good in dec</v>
      </c>
      <c r="CF86" s="24" t="str">
        <f t="shared" si="10"/>
        <v>NOT CONNECT</v>
      </c>
    </row>
    <row r="87">
      <c r="A87" s="36" t="s">
        <v>183</v>
      </c>
      <c r="B87" s="37" t="s">
        <v>184</v>
      </c>
      <c r="C87" s="38">
        <v>7.367940048E9</v>
      </c>
      <c r="D87" s="36" t="s">
        <v>83</v>
      </c>
      <c r="E87" s="28">
        <f t="shared" si="11"/>
        <v>64</v>
      </c>
      <c r="F87" s="28">
        <f t="shared" si="12"/>
        <v>24</v>
      </c>
      <c r="G87" s="29">
        <f t="shared" si="13"/>
        <v>38</v>
      </c>
      <c r="H87" s="28">
        <f t="shared" si="14"/>
        <v>49</v>
      </c>
      <c r="I87" s="28">
        <f t="shared" si="15"/>
        <v>19</v>
      </c>
      <c r="J87" s="35">
        <f t="shared" si="16"/>
        <v>38.7755102</v>
      </c>
      <c r="K87" s="17"/>
      <c r="L87" s="39" t="b">
        <v>0</v>
      </c>
      <c r="M87" s="39" t="b">
        <v>0</v>
      </c>
      <c r="N87" s="39" t="b">
        <v>0</v>
      </c>
      <c r="O87" s="39" t="b">
        <v>0</v>
      </c>
      <c r="P87" s="39" t="b">
        <v>0</v>
      </c>
      <c r="Q87" s="39" t="b">
        <v>0</v>
      </c>
      <c r="R87" s="39" t="b">
        <v>0</v>
      </c>
      <c r="S87" s="39" t="b">
        <v>0</v>
      </c>
      <c r="T87" s="39" t="b">
        <v>0</v>
      </c>
      <c r="U87" s="39" t="b">
        <v>0</v>
      </c>
      <c r="V87" s="39" t="b">
        <v>0</v>
      </c>
      <c r="W87" s="39" t="b">
        <v>0</v>
      </c>
      <c r="X87" s="39" t="b">
        <v>0</v>
      </c>
      <c r="Y87" s="39" t="b">
        <v>0</v>
      </c>
      <c r="Z87" s="39" t="b">
        <v>0</v>
      </c>
      <c r="AA87" s="39" t="b">
        <v>0</v>
      </c>
      <c r="AB87" s="39" t="b">
        <v>0</v>
      </c>
      <c r="AC87" s="39" t="b">
        <v>0</v>
      </c>
      <c r="AD87" s="39" t="b">
        <v>0</v>
      </c>
      <c r="AE87" s="39" t="b">
        <v>0</v>
      </c>
      <c r="AF87" s="39" t="b">
        <v>0</v>
      </c>
      <c r="AG87" s="39" t="b">
        <v>0</v>
      </c>
      <c r="AH87" s="39" t="b">
        <v>0</v>
      </c>
      <c r="AI87" s="39" t="b">
        <v>0</v>
      </c>
      <c r="AJ87" s="39" t="b">
        <v>0</v>
      </c>
      <c r="AK87" s="39" t="b">
        <v>0</v>
      </c>
      <c r="AL87" s="39" t="b">
        <v>0</v>
      </c>
      <c r="AM87" s="39" t="b">
        <v>0</v>
      </c>
      <c r="AN87" s="39" t="b">
        <v>0</v>
      </c>
      <c r="AO87" s="39" t="b">
        <v>0</v>
      </c>
      <c r="AP87" s="39" t="b">
        <v>0</v>
      </c>
      <c r="AQ87" s="39" t="b">
        <v>0</v>
      </c>
      <c r="AR87" s="39" t="b">
        <v>0</v>
      </c>
      <c r="AS87" s="39" t="b">
        <v>0</v>
      </c>
      <c r="AT87" s="39" t="b">
        <v>0</v>
      </c>
      <c r="AU87" s="39" t="b">
        <v>0</v>
      </c>
      <c r="AV87" s="39" t="b">
        <v>1</v>
      </c>
      <c r="AW87" s="39" t="b">
        <v>1</v>
      </c>
      <c r="AX87" s="39" t="b">
        <v>1</v>
      </c>
      <c r="AY87" s="39" t="b">
        <v>1</v>
      </c>
      <c r="AZ87" s="39" t="b">
        <v>1</v>
      </c>
      <c r="BA87" s="39" t="b">
        <v>1</v>
      </c>
      <c r="BB87" s="39" t="b">
        <v>0</v>
      </c>
      <c r="BC87" s="39" t="b">
        <v>0</v>
      </c>
      <c r="BD87" s="39" t="b">
        <v>1</v>
      </c>
      <c r="BE87" s="39" t="b">
        <v>1</v>
      </c>
      <c r="BF87" s="39" t="b">
        <v>1</v>
      </c>
      <c r="BG87" s="39" t="b">
        <v>1</v>
      </c>
      <c r="BH87" s="39" t="b">
        <v>1</v>
      </c>
      <c r="BI87" s="39" t="b">
        <v>1</v>
      </c>
      <c r="BJ87" s="39" t="b">
        <v>1</v>
      </c>
      <c r="BK87" s="39" t="b">
        <v>1</v>
      </c>
      <c r="BL87" s="39" t="b">
        <v>1</v>
      </c>
      <c r="BM87" s="39" t="b">
        <v>1</v>
      </c>
      <c r="BN87" s="39" t="b">
        <v>0</v>
      </c>
      <c r="BO87" s="39" t="b">
        <v>1</v>
      </c>
      <c r="BP87" s="39" t="b">
        <v>0</v>
      </c>
      <c r="BQ87" s="39" t="b">
        <v>1</v>
      </c>
      <c r="BR87" s="39" t="b">
        <v>1</v>
      </c>
      <c r="BS87" s="39" t="b">
        <v>1</v>
      </c>
      <c r="BT87" s="40" t="b">
        <v>1</v>
      </c>
      <c r="BU87" s="40" t="b">
        <v>1</v>
      </c>
      <c r="BV87" s="40" t="b">
        <v>1</v>
      </c>
      <c r="BW87" s="40" t="b">
        <v>1</v>
      </c>
      <c r="BX87" s="19">
        <f t="shared" si="2"/>
        <v>31</v>
      </c>
      <c r="BY87" s="20">
        <f t="shared" si="3"/>
        <v>24</v>
      </c>
      <c r="BZ87" s="21">
        <f t="shared" si="4"/>
        <v>0.7741935484</v>
      </c>
      <c r="CA87" s="22" t="str">
        <f t="shared" si="5"/>
        <v>GOOD IN NOV</v>
      </c>
      <c r="CB87" s="19">
        <f t="shared" si="6"/>
        <v>37</v>
      </c>
      <c r="CC87" s="20">
        <f t="shared" si="7"/>
        <v>24</v>
      </c>
      <c r="CD87" s="23">
        <f t="shared" si="8"/>
        <v>0.6486486486</v>
      </c>
      <c r="CE87" s="24" t="str">
        <f t="shared" si="9"/>
        <v>Good in dec</v>
      </c>
      <c r="CF87" s="24" t="str">
        <f t="shared" si="10"/>
        <v>NOT CONNECT</v>
      </c>
    </row>
    <row r="88">
      <c r="A88" s="36" t="s">
        <v>185</v>
      </c>
      <c r="B88" s="37" t="s">
        <v>186</v>
      </c>
      <c r="C88" s="38">
        <v>9.135291053E9</v>
      </c>
      <c r="D88" s="36" t="s">
        <v>83</v>
      </c>
      <c r="E88" s="28">
        <f t="shared" si="11"/>
        <v>64</v>
      </c>
      <c r="F88" s="28">
        <f t="shared" si="12"/>
        <v>24</v>
      </c>
      <c r="G88" s="29">
        <f t="shared" si="13"/>
        <v>38</v>
      </c>
      <c r="H88" s="28">
        <f t="shared" si="14"/>
        <v>49</v>
      </c>
      <c r="I88" s="28">
        <f t="shared" si="15"/>
        <v>22</v>
      </c>
      <c r="J88" s="35">
        <f t="shared" si="16"/>
        <v>44.89795918</v>
      </c>
      <c r="K88" s="17"/>
      <c r="L88" s="39" t="b">
        <v>0</v>
      </c>
      <c r="M88" s="39" t="b">
        <v>0</v>
      </c>
      <c r="N88" s="39" t="b">
        <v>1</v>
      </c>
      <c r="O88" s="39" t="b">
        <v>0</v>
      </c>
      <c r="P88" s="39" t="b">
        <v>0</v>
      </c>
      <c r="Q88" s="39" t="b">
        <v>0</v>
      </c>
      <c r="R88" s="39" t="b">
        <v>0</v>
      </c>
      <c r="S88" s="39" t="b">
        <v>1</v>
      </c>
      <c r="T88" s="39" t="b">
        <v>0</v>
      </c>
      <c r="U88" s="39" t="b">
        <v>0</v>
      </c>
      <c r="V88" s="39" t="b">
        <v>0</v>
      </c>
      <c r="W88" s="39" t="b">
        <v>0</v>
      </c>
      <c r="X88" s="39" t="b">
        <v>0</v>
      </c>
      <c r="Y88" s="39" t="b">
        <v>0</v>
      </c>
      <c r="Z88" s="39" t="b">
        <v>0</v>
      </c>
      <c r="AA88" s="39" t="b">
        <v>0</v>
      </c>
      <c r="AB88" s="39" t="b">
        <v>0</v>
      </c>
      <c r="AC88" s="39" t="b">
        <v>0</v>
      </c>
      <c r="AD88" s="39" t="b">
        <v>0</v>
      </c>
      <c r="AE88" s="39" t="b">
        <v>0</v>
      </c>
      <c r="AF88" s="39" t="b">
        <v>0</v>
      </c>
      <c r="AG88" s="39" t="b">
        <v>0</v>
      </c>
      <c r="AH88" s="39" t="b">
        <v>0</v>
      </c>
      <c r="AI88" s="39" t="b">
        <v>0</v>
      </c>
      <c r="AJ88" s="39" t="b">
        <v>0</v>
      </c>
      <c r="AK88" s="39" t="b">
        <v>0</v>
      </c>
      <c r="AL88" s="39" t="b">
        <v>1</v>
      </c>
      <c r="AM88" s="39" t="b">
        <v>0</v>
      </c>
      <c r="AN88" s="39" t="b">
        <v>0</v>
      </c>
      <c r="AO88" s="39" t="b">
        <v>0</v>
      </c>
      <c r="AP88" s="39" t="b">
        <v>0</v>
      </c>
      <c r="AQ88" s="39" t="b">
        <v>0</v>
      </c>
      <c r="AR88" s="39" t="b">
        <v>0</v>
      </c>
      <c r="AS88" s="39" t="b">
        <v>1</v>
      </c>
      <c r="AT88" s="39" t="b">
        <v>0</v>
      </c>
      <c r="AU88" s="39" t="b">
        <v>0</v>
      </c>
      <c r="AV88" s="39" t="b">
        <v>0</v>
      </c>
      <c r="AW88" s="39" t="b">
        <v>0</v>
      </c>
      <c r="AX88" s="39" t="b">
        <v>0</v>
      </c>
      <c r="AY88" s="39" t="b">
        <v>1</v>
      </c>
      <c r="AZ88" s="39" t="b">
        <v>1</v>
      </c>
      <c r="BA88" s="39" t="b">
        <v>1</v>
      </c>
      <c r="BB88" s="39" t="b">
        <v>1</v>
      </c>
      <c r="BC88" s="39" t="b">
        <v>0</v>
      </c>
      <c r="BD88" s="39" t="b">
        <v>1</v>
      </c>
      <c r="BE88" s="39" t="b">
        <v>1</v>
      </c>
      <c r="BF88" s="39" t="b">
        <v>0</v>
      </c>
      <c r="BG88" s="39" t="b">
        <v>1</v>
      </c>
      <c r="BH88" s="39" t="b">
        <v>1</v>
      </c>
      <c r="BI88" s="39" t="b">
        <v>0</v>
      </c>
      <c r="BJ88" s="39" t="b">
        <v>0</v>
      </c>
      <c r="BK88" s="39" t="b">
        <v>1</v>
      </c>
      <c r="BL88" s="39" t="b">
        <v>1</v>
      </c>
      <c r="BM88" s="39" t="b">
        <v>1</v>
      </c>
      <c r="BN88" s="39" t="b">
        <v>1</v>
      </c>
      <c r="BO88" s="39" t="b">
        <v>1</v>
      </c>
      <c r="BP88" s="39" t="b">
        <v>1</v>
      </c>
      <c r="BQ88" s="39" t="b">
        <v>1</v>
      </c>
      <c r="BR88" s="39" t="b">
        <v>0</v>
      </c>
      <c r="BS88" s="39" t="b">
        <v>1</v>
      </c>
      <c r="BT88" s="40" t="b">
        <v>1</v>
      </c>
      <c r="BU88" s="40" t="b">
        <v>1</v>
      </c>
      <c r="BV88" s="40" t="b">
        <v>1</v>
      </c>
      <c r="BW88" s="40" t="b">
        <v>1</v>
      </c>
      <c r="BX88" s="19">
        <f t="shared" si="2"/>
        <v>31</v>
      </c>
      <c r="BY88" s="20">
        <f t="shared" si="3"/>
        <v>21</v>
      </c>
      <c r="BZ88" s="21">
        <f t="shared" si="4"/>
        <v>0.6774193548</v>
      </c>
      <c r="CA88" s="22" t="str">
        <f t="shared" si="5"/>
        <v>GOOD IN NOV</v>
      </c>
      <c r="CB88" s="19">
        <f t="shared" si="6"/>
        <v>37</v>
      </c>
      <c r="CC88" s="20">
        <f t="shared" si="7"/>
        <v>21</v>
      </c>
      <c r="CD88" s="23">
        <f t="shared" si="8"/>
        <v>0.5675675676</v>
      </c>
      <c r="CE88" s="24" t="str">
        <f t="shared" si="9"/>
        <v>Good in dec</v>
      </c>
      <c r="CF88" s="24" t="str">
        <f t="shared" si="10"/>
        <v>NOT CONNECT</v>
      </c>
    </row>
    <row r="89">
      <c r="A89" s="36" t="s">
        <v>187</v>
      </c>
      <c r="B89" s="37" t="s">
        <v>188</v>
      </c>
      <c r="C89" s="38">
        <v>8.470911124E9</v>
      </c>
      <c r="D89" s="36" t="s">
        <v>83</v>
      </c>
      <c r="E89" s="28">
        <f t="shared" si="11"/>
        <v>64</v>
      </c>
      <c r="F89" s="28">
        <f t="shared" si="12"/>
        <v>58</v>
      </c>
      <c r="G89" s="32">
        <f t="shared" si="13"/>
        <v>91</v>
      </c>
      <c r="H89" s="28">
        <f t="shared" si="14"/>
        <v>49</v>
      </c>
      <c r="I89" s="28">
        <f t="shared" si="15"/>
        <v>47</v>
      </c>
      <c r="J89" s="30">
        <f t="shared" si="16"/>
        <v>95.91836735</v>
      </c>
      <c r="K89" s="42"/>
      <c r="L89" s="43" t="b">
        <v>1</v>
      </c>
      <c r="M89" s="43" t="b">
        <v>1</v>
      </c>
      <c r="N89" s="43" t="b">
        <v>1</v>
      </c>
      <c r="O89" s="43" t="b">
        <v>1</v>
      </c>
      <c r="P89" s="43" t="b">
        <v>1</v>
      </c>
      <c r="Q89" s="43" t="b">
        <v>1</v>
      </c>
      <c r="R89" s="43" t="b">
        <v>0</v>
      </c>
      <c r="S89" s="43" t="b">
        <v>1</v>
      </c>
      <c r="T89" s="43" t="b">
        <v>1</v>
      </c>
      <c r="U89" s="43" t="b">
        <v>0</v>
      </c>
      <c r="V89" s="43" t="b">
        <v>1</v>
      </c>
      <c r="W89" s="43" t="b">
        <v>1</v>
      </c>
      <c r="X89" s="43" t="b">
        <v>0</v>
      </c>
      <c r="Y89" s="43" t="b">
        <v>0</v>
      </c>
      <c r="Z89" s="43" t="b">
        <v>1</v>
      </c>
      <c r="AA89" s="43" t="b">
        <v>1</v>
      </c>
      <c r="AB89" s="43" t="b">
        <v>1</v>
      </c>
      <c r="AC89" s="43" t="b">
        <v>1</v>
      </c>
      <c r="AD89" s="43" t="b">
        <v>1</v>
      </c>
      <c r="AE89" s="43" t="b">
        <v>1</v>
      </c>
      <c r="AF89" s="43" t="b">
        <v>1</v>
      </c>
      <c r="AG89" s="43" t="b">
        <v>0</v>
      </c>
      <c r="AH89" s="43" t="b">
        <v>1</v>
      </c>
      <c r="AI89" s="43" t="b">
        <v>1</v>
      </c>
      <c r="AJ89" s="43" t="b">
        <v>1</v>
      </c>
      <c r="AK89" s="43" t="b">
        <v>1</v>
      </c>
      <c r="AL89" s="43" t="b">
        <v>1</v>
      </c>
      <c r="AM89" s="43" t="b">
        <v>1</v>
      </c>
      <c r="AN89" s="43" t="b">
        <v>0</v>
      </c>
      <c r="AO89" s="43" t="b">
        <v>1</v>
      </c>
      <c r="AP89" s="43" t="b">
        <v>1</v>
      </c>
      <c r="AQ89" s="43" t="b">
        <v>1</v>
      </c>
      <c r="AR89" s="43" t="b">
        <v>1</v>
      </c>
      <c r="AS89" s="43" t="b">
        <v>1</v>
      </c>
      <c r="AT89" s="43" t="b">
        <v>1</v>
      </c>
      <c r="AU89" s="43" t="b">
        <v>1</v>
      </c>
      <c r="AV89" s="43" t="b">
        <v>1</v>
      </c>
      <c r="AW89" s="43" t="b">
        <v>1</v>
      </c>
      <c r="AX89" s="43" t="b">
        <v>1</v>
      </c>
      <c r="AY89" s="43" t="b">
        <v>1</v>
      </c>
      <c r="AZ89" s="43" t="b">
        <v>1</v>
      </c>
      <c r="BA89" s="43" t="b">
        <v>1</v>
      </c>
      <c r="BB89" s="43" t="b">
        <v>1</v>
      </c>
      <c r="BC89" s="43" t="b">
        <v>1</v>
      </c>
      <c r="BD89" s="43" t="b">
        <v>1</v>
      </c>
      <c r="BE89" s="43" t="b">
        <v>1</v>
      </c>
      <c r="BF89" s="43" t="b">
        <v>1</v>
      </c>
      <c r="BG89" s="43" t="b">
        <v>1</v>
      </c>
      <c r="BH89" s="43" t="b">
        <v>1</v>
      </c>
      <c r="BI89" s="43" t="b">
        <v>1</v>
      </c>
      <c r="BJ89" s="43" t="b">
        <v>1</v>
      </c>
      <c r="BK89" s="43" t="b">
        <v>1</v>
      </c>
      <c r="BL89" s="43" t="b">
        <v>1</v>
      </c>
      <c r="BM89" s="43" t="b">
        <v>1</v>
      </c>
      <c r="BN89" s="43" t="b">
        <v>1</v>
      </c>
      <c r="BO89" s="43" t="b">
        <v>1</v>
      </c>
      <c r="BP89" s="43" t="b">
        <v>1</v>
      </c>
      <c r="BQ89" s="43" t="b">
        <v>1</v>
      </c>
      <c r="BR89" s="43" t="b">
        <v>1</v>
      </c>
      <c r="BS89" s="43" t="b">
        <v>1</v>
      </c>
      <c r="BT89" s="40" t="b">
        <v>1</v>
      </c>
      <c r="BU89" s="40" t="b">
        <v>1</v>
      </c>
      <c r="BV89" s="40" t="b">
        <v>1</v>
      </c>
      <c r="BW89" s="40" t="b">
        <v>1</v>
      </c>
      <c r="BX89" s="19">
        <f t="shared" si="2"/>
        <v>31</v>
      </c>
      <c r="BY89" s="20">
        <f t="shared" si="3"/>
        <v>31</v>
      </c>
      <c r="BZ89" s="21">
        <f t="shared" si="4"/>
        <v>1</v>
      </c>
      <c r="CA89" s="22" t="str">
        <f t="shared" si="5"/>
        <v>GOOD IN NOV</v>
      </c>
      <c r="CB89" s="19">
        <f t="shared" si="6"/>
        <v>37</v>
      </c>
      <c r="CC89" s="20">
        <f t="shared" si="7"/>
        <v>36</v>
      </c>
      <c r="CD89" s="23">
        <f t="shared" si="8"/>
        <v>0.972972973</v>
      </c>
      <c r="CE89" s="24" t="str">
        <f t="shared" si="9"/>
        <v>Good in dec</v>
      </c>
      <c r="CF89" s="24" t="str">
        <f t="shared" si="10"/>
        <v>NOT CONNECT</v>
      </c>
    </row>
    <row r="90">
      <c r="A90" s="36" t="s">
        <v>189</v>
      </c>
      <c r="B90" s="37" t="s">
        <v>190</v>
      </c>
      <c r="C90" s="38">
        <v>8.299449073E9</v>
      </c>
      <c r="D90" s="36" t="s">
        <v>83</v>
      </c>
      <c r="E90" s="28">
        <f t="shared" si="11"/>
        <v>64</v>
      </c>
      <c r="F90" s="28">
        <f t="shared" si="12"/>
        <v>52</v>
      </c>
      <c r="G90" s="32">
        <f t="shared" si="13"/>
        <v>81</v>
      </c>
      <c r="H90" s="28">
        <f t="shared" si="14"/>
        <v>49</v>
      </c>
      <c r="I90" s="28">
        <f t="shared" si="15"/>
        <v>41</v>
      </c>
      <c r="J90" s="30">
        <f t="shared" si="16"/>
        <v>83.67346939</v>
      </c>
      <c r="K90" s="17"/>
      <c r="L90" s="39" t="b">
        <v>1</v>
      </c>
      <c r="M90" s="39" t="b">
        <v>1</v>
      </c>
      <c r="N90" s="39" t="b">
        <v>1</v>
      </c>
      <c r="O90" s="39" t="b">
        <v>1</v>
      </c>
      <c r="P90" s="39" t="b">
        <v>1</v>
      </c>
      <c r="Q90" s="39" t="b">
        <v>1</v>
      </c>
      <c r="R90" s="39" t="b">
        <v>1</v>
      </c>
      <c r="S90" s="39" t="b">
        <v>1</v>
      </c>
      <c r="T90" s="39" t="b">
        <v>0</v>
      </c>
      <c r="U90" s="39" t="b">
        <v>1</v>
      </c>
      <c r="V90" s="39" t="b">
        <v>1</v>
      </c>
      <c r="W90" s="39" t="b">
        <v>1</v>
      </c>
      <c r="X90" s="39" t="b">
        <v>0</v>
      </c>
      <c r="Y90" s="39" t="b">
        <v>1</v>
      </c>
      <c r="Z90" s="39" t="b">
        <v>0</v>
      </c>
      <c r="AA90" s="39" t="b">
        <v>1</v>
      </c>
      <c r="AB90" s="39" t="b">
        <v>1</v>
      </c>
      <c r="AC90" s="39" t="b">
        <v>1</v>
      </c>
      <c r="AD90" s="39" t="b">
        <v>1</v>
      </c>
      <c r="AE90" s="39" t="b">
        <v>1</v>
      </c>
      <c r="AF90" s="39" t="b">
        <v>1</v>
      </c>
      <c r="AG90" s="39" t="b">
        <v>1</v>
      </c>
      <c r="AH90" s="39" t="b">
        <v>1</v>
      </c>
      <c r="AI90" s="39" t="b">
        <v>0</v>
      </c>
      <c r="AJ90" s="39" t="b">
        <v>0</v>
      </c>
      <c r="AK90" s="39" t="b">
        <v>1</v>
      </c>
      <c r="AL90" s="39" t="b">
        <v>1</v>
      </c>
      <c r="AM90" s="39" t="b">
        <v>1</v>
      </c>
      <c r="AN90" s="39" t="b">
        <v>0</v>
      </c>
      <c r="AO90" s="39" t="b">
        <v>1</v>
      </c>
      <c r="AP90" s="39" t="b">
        <v>1</v>
      </c>
      <c r="AQ90" s="39" t="b">
        <v>1</v>
      </c>
      <c r="AR90" s="39" t="b">
        <v>1</v>
      </c>
      <c r="AS90" s="39" t="b">
        <v>0</v>
      </c>
      <c r="AT90" s="39" t="b">
        <v>1</v>
      </c>
      <c r="AU90" s="39" t="b">
        <v>1</v>
      </c>
      <c r="AV90" s="39" t="b">
        <v>1</v>
      </c>
      <c r="AW90" s="39" t="b">
        <v>1</v>
      </c>
      <c r="AX90" s="39" t="b">
        <v>1</v>
      </c>
      <c r="AY90" s="39" t="b">
        <v>0</v>
      </c>
      <c r="AZ90" s="39" t="b">
        <v>1</v>
      </c>
      <c r="BA90" s="39" t="b">
        <v>1</v>
      </c>
      <c r="BB90" s="39" t="b">
        <v>1</v>
      </c>
      <c r="BC90" s="39" t="b">
        <v>1</v>
      </c>
      <c r="BD90" s="39" t="b">
        <v>1</v>
      </c>
      <c r="BE90" s="39" t="b">
        <v>1</v>
      </c>
      <c r="BF90" s="39" t="b">
        <v>1</v>
      </c>
      <c r="BG90" s="39" t="b">
        <v>1</v>
      </c>
      <c r="BH90" s="39" t="b">
        <v>1</v>
      </c>
      <c r="BI90" s="39" t="b">
        <v>0</v>
      </c>
      <c r="BJ90" s="39" t="b">
        <v>0</v>
      </c>
      <c r="BK90" s="39" t="b">
        <v>1</v>
      </c>
      <c r="BL90" s="39" t="b">
        <v>1</v>
      </c>
      <c r="BM90" s="39" t="b">
        <v>1</v>
      </c>
      <c r="BN90" s="39" t="b">
        <v>0</v>
      </c>
      <c r="BO90" s="39" t="b">
        <v>1</v>
      </c>
      <c r="BP90" s="39" t="b">
        <v>1</v>
      </c>
      <c r="BQ90" s="39" t="b">
        <v>1</v>
      </c>
      <c r="BR90" s="39" t="b">
        <v>1</v>
      </c>
      <c r="BS90" s="39" t="b">
        <v>0</v>
      </c>
      <c r="BT90" s="40" t="b">
        <v>1</v>
      </c>
      <c r="BU90" s="40" t="b">
        <v>1</v>
      </c>
      <c r="BV90" s="40" t="b">
        <v>1</v>
      </c>
      <c r="BW90" s="40" t="b">
        <v>1</v>
      </c>
      <c r="BX90" s="19">
        <f t="shared" si="2"/>
        <v>31</v>
      </c>
      <c r="BY90" s="20">
        <f t="shared" si="3"/>
        <v>25</v>
      </c>
      <c r="BZ90" s="21">
        <f t="shared" si="4"/>
        <v>0.8064516129</v>
      </c>
      <c r="CA90" s="22" t="str">
        <f t="shared" si="5"/>
        <v>GOOD IN NOV</v>
      </c>
      <c r="CB90" s="19">
        <f t="shared" si="6"/>
        <v>37</v>
      </c>
      <c r="CC90" s="20">
        <f t="shared" si="7"/>
        <v>30</v>
      </c>
      <c r="CD90" s="23">
        <f t="shared" si="8"/>
        <v>0.8108108108</v>
      </c>
      <c r="CE90" s="24" t="str">
        <f t="shared" si="9"/>
        <v>Good in dec</v>
      </c>
      <c r="CF90" s="24" t="str">
        <f t="shared" si="10"/>
        <v>NOT CONNECT</v>
      </c>
    </row>
    <row r="91">
      <c r="A91" s="36" t="s">
        <v>191</v>
      </c>
      <c r="B91" s="37" t="s">
        <v>192</v>
      </c>
      <c r="C91" s="38">
        <v>7.985823939E9</v>
      </c>
      <c r="D91" s="36" t="s">
        <v>83</v>
      </c>
      <c r="E91" s="28">
        <f t="shared" si="11"/>
        <v>64</v>
      </c>
      <c r="F91" s="28">
        <f t="shared" si="12"/>
        <v>19</v>
      </c>
      <c r="G91" s="29">
        <f t="shared" si="13"/>
        <v>30</v>
      </c>
      <c r="H91" s="28">
        <f t="shared" si="14"/>
        <v>49</v>
      </c>
      <c r="I91" s="28">
        <f t="shared" si="15"/>
        <v>16</v>
      </c>
      <c r="J91" s="35">
        <f t="shared" si="16"/>
        <v>32.65306122</v>
      </c>
      <c r="K91" s="17"/>
      <c r="L91" s="39" t="b">
        <v>0</v>
      </c>
      <c r="M91" s="39" t="b">
        <v>0</v>
      </c>
      <c r="N91" s="39" t="b">
        <v>1</v>
      </c>
      <c r="O91" s="39" t="b">
        <v>1</v>
      </c>
      <c r="P91" s="39" t="b">
        <v>0</v>
      </c>
      <c r="Q91" s="39" t="b">
        <v>1</v>
      </c>
      <c r="R91" s="39" t="b">
        <v>1</v>
      </c>
      <c r="S91" s="39" t="b">
        <v>1</v>
      </c>
      <c r="T91" s="39" t="b">
        <v>0</v>
      </c>
      <c r="U91" s="39" t="b">
        <v>1</v>
      </c>
      <c r="V91" s="39" t="b">
        <v>1</v>
      </c>
      <c r="W91" s="39" t="b">
        <v>0</v>
      </c>
      <c r="X91" s="39" t="b">
        <v>0</v>
      </c>
      <c r="Y91" s="39" t="b">
        <v>0</v>
      </c>
      <c r="Z91" s="39" t="b">
        <v>1</v>
      </c>
      <c r="AA91" s="39" t="b">
        <v>1</v>
      </c>
      <c r="AB91" s="39" t="b">
        <v>1</v>
      </c>
      <c r="AC91" s="39" t="b">
        <v>0</v>
      </c>
      <c r="AD91" s="39" t="b">
        <v>0</v>
      </c>
      <c r="AE91" s="39" t="b">
        <v>0</v>
      </c>
      <c r="AF91" s="39" t="b">
        <v>0</v>
      </c>
      <c r="AG91" s="39" t="b">
        <v>0</v>
      </c>
      <c r="AH91" s="39" t="b">
        <v>0</v>
      </c>
      <c r="AI91" s="39" t="b">
        <v>0</v>
      </c>
      <c r="AJ91" s="39" t="b">
        <v>0</v>
      </c>
      <c r="AK91" s="39" t="b">
        <v>0</v>
      </c>
      <c r="AL91" s="39" t="b">
        <v>0</v>
      </c>
      <c r="AM91" s="39" t="b">
        <v>0</v>
      </c>
      <c r="AN91" s="39" t="b">
        <v>0</v>
      </c>
      <c r="AO91" s="39" t="b">
        <v>0</v>
      </c>
      <c r="AP91" s="39" t="b">
        <v>0</v>
      </c>
      <c r="AQ91" s="39" t="b">
        <v>0</v>
      </c>
      <c r="AR91" s="39" t="b">
        <v>0</v>
      </c>
      <c r="AS91" s="39" t="b">
        <v>0</v>
      </c>
      <c r="AT91" s="39" t="b">
        <v>0</v>
      </c>
      <c r="AU91" s="39" t="b">
        <v>0</v>
      </c>
      <c r="AV91" s="39" t="b">
        <v>0</v>
      </c>
      <c r="AW91" s="39" t="b">
        <v>0</v>
      </c>
      <c r="AX91" s="39" t="b">
        <v>0</v>
      </c>
      <c r="AY91" s="39" t="b">
        <v>1</v>
      </c>
      <c r="AZ91" s="39" t="b">
        <v>0</v>
      </c>
      <c r="BA91" s="39" t="b">
        <v>1</v>
      </c>
      <c r="BB91" s="39" t="b">
        <v>0</v>
      </c>
      <c r="BC91" s="39" t="b">
        <v>0</v>
      </c>
      <c r="BD91" s="39" t="b">
        <v>0</v>
      </c>
      <c r="BE91" s="39" t="b">
        <v>0</v>
      </c>
      <c r="BF91" s="39" t="b">
        <v>0</v>
      </c>
      <c r="BG91" s="39" t="b">
        <v>1</v>
      </c>
      <c r="BH91" s="39" t="b">
        <v>0</v>
      </c>
      <c r="BI91" s="39" t="b">
        <v>0</v>
      </c>
      <c r="BJ91" s="39" t="b">
        <v>0</v>
      </c>
      <c r="BK91" s="39" t="b">
        <v>0</v>
      </c>
      <c r="BL91" s="39" t="b">
        <v>1</v>
      </c>
      <c r="BM91" s="39" t="b">
        <v>1</v>
      </c>
      <c r="BN91" s="39" t="b">
        <v>1</v>
      </c>
      <c r="BO91" s="39" t="b">
        <v>0</v>
      </c>
      <c r="BP91" s="39" t="b">
        <v>0</v>
      </c>
      <c r="BQ91" s="39" t="b">
        <v>0</v>
      </c>
      <c r="BR91" s="39" t="b">
        <v>0</v>
      </c>
      <c r="BS91" s="39" t="b">
        <v>1</v>
      </c>
      <c r="BT91" s="40" t="b">
        <v>1</v>
      </c>
      <c r="BU91" s="40" t="b">
        <v>1</v>
      </c>
      <c r="BV91" s="40" t="b">
        <v>0</v>
      </c>
      <c r="BW91" s="40" t="b">
        <v>0</v>
      </c>
      <c r="BX91" s="19">
        <f t="shared" si="2"/>
        <v>31</v>
      </c>
      <c r="BY91" s="20">
        <f t="shared" si="3"/>
        <v>9</v>
      </c>
      <c r="BZ91" s="21">
        <f t="shared" si="4"/>
        <v>0.2903225806</v>
      </c>
      <c r="CA91" s="22" t="str">
        <f t="shared" si="5"/>
        <v>BAD IN NOV</v>
      </c>
      <c r="CB91" s="19">
        <f t="shared" si="6"/>
        <v>37</v>
      </c>
      <c r="CC91" s="20">
        <f t="shared" si="7"/>
        <v>9</v>
      </c>
      <c r="CD91" s="23">
        <f t="shared" si="8"/>
        <v>0.2432432432</v>
      </c>
      <c r="CE91" s="24" t="str">
        <f t="shared" si="9"/>
        <v>Bad in dec</v>
      </c>
      <c r="CF91" s="24" t="str">
        <f t="shared" si="10"/>
        <v>NOT CONNECT</v>
      </c>
    </row>
    <row r="92">
      <c r="A92" s="36" t="s">
        <v>193</v>
      </c>
      <c r="B92" s="37" t="s">
        <v>194</v>
      </c>
      <c r="C92" s="38">
        <v>8.470958535E9</v>
      </c>
      <c r="D92" s="36" t="s">
        <v>83</v>
      </c>
      <c r="E92" s="28">
        <f t="shared" si="11"/>
        <v>64</v>
      </c>
      <c r="F92" s="28">
        <f t="shared" si="12"/>
        <v>43</v>
      </c>
      <c r="G92" s="29">
        <f t="shared" si="13"/>
        <v>67</v>
      </c>
      <c r="H92" s="28">
        <f t="shared" si="14"/>
        <v>49</v>
      </c>
      <c r="I92" s="28">
        <f t="shared" si="15"/>
        <v>36</v>
      </c>
      <c r="J92" s="30">
        <f t="shared" si="16"/>
        <v>73.46938776</v>
      </c>
      <c r="K92" s="17"/>
      <c r="L92" s="39" t="b">
        <v>0</v>
      </c>
      <c r="M92" s="39" t="b">
        <v>1</v>
      </c>
      <c r="N92" s="39" t="b">
        <v>1</v>
      </c>
      <c r="O92" s="39" t="b">
        <v>1</v>
      </c>
      <c r="P92" s="39" t="b">
        <v>1</v>
      </c>
      <c r="Q92" s="39" t="b">
        <v>1</v>
      </c>
      <c r="R92" s="39" t="b">
        <v>0</v>
      </c>
      <c r="S92" s="39" t="b">
        <v>0</v>
      </c>
      <c r="T92" s="39" t="b">
        <v>0</v>
      </c>
      <c r="U92" s="39" t="b">
        <v>0</v>
      </c>
      <c r="V92" s="39" t="b">
        <v>1</v>
      </c>
      <c r="W92" s="39" t="b">
        <v>1</v>
      </c>
      <c r="X92" s="39" t="b">
        <v>0</v>
      </c>
      <c r="Y92" s="39" t="b">
        <v>0</v>
      </c>
      <c r="Z92" s="39" t="b">
        <v>0</v>
      </c>
      <c r="AA92" s="39" t="b">
        <v>0</v>
      </c>
      <c r="AB92" s="39" t="b">
        <v>0</v>
      </c>
      <c r="AC92" s="39" t="b">
        <v>0</v>
      </c>
      <c r="AD92" s="39" t="b">
        <v>0</v>
      </c>
      <c r="AE92" s="39" t="b">
        <v>0</v>
      </c>
      <c r="AF92" s="39" t="b">
        <v>1</v>
      </c>
      <c r="AG92" s="39" t="b">
        <v>1</v>
      </c>
      <c r="AH92" s="39" t="b">
        <v>1</v>
      </c>
      <c r="AI92" s="39" t="b">
        <v>1</v>
      </c>
      <c r="AJ92" s="39" t="b">
        <v>1</v>
      </c>
      <c r="AK92" s="39" t="b">
        <v>1</v>
      </c>
      <c r="AL92" s="39" t="b">
        <v>1</v>
      </c>
      <c r="AM92" s="39" t="b">
        <v>1</v>
      </c>
      <c r="AN92" s="39" t="b">
        <v>0</v>
      </c>
      <c r="AO92" s="39" t="b">
        <v>0</v>
      </c>
      <c r="AP92" s="39" t="b">
        <v>1</v>
      </c>
      <c r="AQ92" s="39" t="b">
        <v>1</v>
      </c>
      <c r="AR92" s="39" t="b">
        <v>1</v>
      </c>
      <c r="AS92" s="39" t="b">
        <v>1</v>
      </c>
      <c r="AT92" s="39" t="b">
        <v>1</v>
      </c>
      <c r="AU92" s="39" t="b">
        <v>1</v>
      </c>
      <c r="AV92" s="39" t="b">
        <v>1</v>
      </c>
      <c r="AW92" s="39" t="b">
        <v>0</v>
      </c>
      <c r="AX92" s="39" t="b">
        <v>0</v>
      </c>
      <c r="AY92" s="39" t="b">
        <v>1</v>
      </c>
      <c r="AZ92" s="39" t="b">
        <v>1</v>
      </c>
      <c r="BA92" s="39" t="b">
        <v>1</v>
      </c>
      <c r="BB92" s="39" t="b">
        <v>0</v>
      </c>
      <c r="BC92" s="39" t="b">
        <v>0</v>
      </c>
      <c r="BD92" s="39" t="b">
        <v>1</v>
      </c>
      <c r="BE92" s="39" t="b">
        <v>1</v>
      </c>
      <c r="BF92" s="39" t="b">
        <v>0</v>
      </c>
      <c r="BG92" s="39" t="b">
        <v>1</v>
      </c>
      <c r="BH92" s="39" t="b">
        <v>1</v>
      </c>
      <c r="BI92" s="39" t="b">
        <v>1</v>
      </c>
      <c r="BJ92" s="39" t="b">
        <v>1</v>
      </c>
      <c r="BK92" s="39" t="b">
        <v>1</v>
      </c>
      <c r="BL92" s="39" t="b">
        <v>1</v>
      </c>
      <c r="BM92" s="39" t="b">
        <v>1</v>
      </c>
      <c r="BN92" s="39" t="b">
        <v>1</v>
      </c>
      <c r="BO92" s="39" t="b">
        <v>1</v>
      </c>
      <c r="BP92" s="39" t="b">
        <v>1</v>
      </c>
      <c r="BQ92" s="39" t="b">
        <v>0</v>
      </c>
      <c r="BR92" s="39" t="b">
        <v>1</v>
      </c>
      <c r="BS92" s="39" t="b">
        <v>1</v>
      </c>
      <c r="BT92" s="40" t="b">
        <v>1</v>
      </c>
      <c r="BU92" s="40" t="b">
        <v>1</v>
      </c>
      <c r="BV92" s="40" t="b">
        <v>1</v>
      </c>
      <c r="BW92" s="40" t="b">
        <v>1</v>
      </c>
      <c r="BX92" s="19">
        <f t="shared" si="2"/>
        <v>31</v>
      </c>
      <c r="BY92" s="20">
        <f t="shared" si="3"/>
        <v>25</v>
      </c>
      <c r="BZ92" s="21">
        <f t="shared" si="4"/>
        <v>0.8064516129</v>
      </c>
      <c r="CA92" s="22" t="str">
        <f t="shared" si="5"/>
        <v>GOOD IN NOV</v>
      </c>
      <c r="CB92" s="19">
        <f t="shared" si="6"/>
        <v>37</v>
      </c>
      <c r="CC92" s="20">
        <f t="shared" si="7"/>
        <v>29</v>
      </c>
      <c r="CD92" s="23">
        <f t="shared" si="8"/>
        <v>0.7837837838</v>
      </c>
      <c r="CE92" s="24" t="str">
        <f t="shared" si="9"/>
        <v>Good in dec</v>
      </c>
      <c r="CF92" s="24" t="str">
        <f t="shared" si="10"/>
        <v>NOT CONNECT</v>
      </c>
    </row>
    <row r="93">
      <c r="A93" s="36" t="s">
        <v>195</v>
      </c>
      <c r="B93" s="37" t="s">
        <v>196</v>
      </c>
      <c r="C93" s="38">
        <v>8.31805047E9</v>
      </c>
      <c r="D93" s="36" t="s">
        <v>83</v>
      </c>
      <c r="E93" s="28">
        <f t="shared" si="11"/>
        <v>64</v>
      </c>
      <c r="F93" s="28">
        <f t="shared" si="12"/>
        <v>33</v>
      </c>
      <c r="G93" s="29">
        <f t="shared" si="13"/>
        <v>52</v>
      </c>
      <c r="H93" s="28">
        <f t="shared" si="14"/>
        <v>49</v>
      </c>
      <c r="I93" s="28">
        <f t="shared" si="15"/>
        <v>29</v>
      </c>
      <c r="J93" s="35">
        <f t="shared" si="16"/>
        <v>59.18367347</v>
      </c>
      <c r="K93" s="17"/>
      <c r="L93" s="39" t="b">
        <v>0</v>
      </c>
      <c r="M93" s="39" t="b">
        <v>1</v>
      </c>
      <c r="N93" s="39" t="b">
        <v>1</v>
      </c>
      <c r="O93" s="39" t="b">
        <v>0</v>
      </c>
      <c r="P93" s="39" t="b">
        <v>0</v>
      </c>
      <c r="Q93" s="39" t="b">
        <v>0</v>
      </c>
      <c r="R93" s="39" t="b">
        <v>0</v>
      </c>
      <c r="S93" s="39" t="b">
        <v>0</v>
      </c>
      <c r="T93" s="39" t="b">
        <v>0</v>
      </c>
      <c r="U93" s="39" t="b">
        <v>0</v>
      </c>
      <c r="V93" s="39" t="b">
        <v>0</v>
      </c>
      <c r="W93" s="39" t="b">
        <v>1</v>
      </c>
      <c r="X93" s="39" t="b">
        <v>0</v>
      </c>
      <c r="Y93" s="39" t="b">
        <v>1</v>
      </c>
      <c r="Z93" s="39" t="b">
        <v>1</v>
      </c>
      <c r="AA93" s="39" t="b">
        <v>1</v>
      </c>
      <c r="AB93" s="39" t="b">
        <v>1</v>
      </c>
      <c r="AC93" s="39" t="b">
        <v>0</v>
      </c>
      <c r="AD93" s="39" t="b">
        <v>1</v>
      </c>
      <c r="AE93" s="39" t="b">
        <v>1</v>
      </c>
      <c r="AF93" s="39" t="b">
        <v>1</v>
      </c>
      <c r="AG93" s="39" t="b">
        <v>0</v>
      </c>
      <c r="AH93" s="39" t="b">
        <v>1</v>
      </c>
      <c r="AI93" s="39" t="b">
        <v>1</v>
      </c>
      <c r="AJ93" s="39" t="b">
        <v>1</v>
      </c>
      <c r="AK93" s="39" t="b">
        <v>1</v>
      </c>
      <c r="AL93" s="39" t="b">
        <v>1</v>
      </c>
      <c r="AM93" s="39" t="b">
        <v>0</v>
      </c>
      <c r="AN93" s="39" t="b">
        <v>0</v>
      </c>
      <c r="AO93" s="39" t="b">
        <v>1</v>
      </c>
      <c r="AP93" s="39" t="b">
        <v>0</v>
      </c>
      <c r="AQ93" s="39" t="b">
        <v>0</v>
      </c>
      <c r="AR93" s="39" t="b">
        <v>1</v>
      </c>
      <c r="AS93" s="39" t="b">
        <v>0</v>
      </c>
      <c r="AT93" s="39" t="b">
        <v>0</v>
      </c>
      <c r="AU93" s="39" t="b">
        <v>1</v>
      </c>
      <c r="AV93" s="39" t="b">
        <v>0</v>
      </c>
      <c r="AW93" s="39" t="b">
        <v>0</v>
      </c>
      <c r="AX93" s="39" t="b">
        <v>1</v>
      </c>
      <c r="AY93" s="39" t="b">
        <v>1</v>
      </c>
      <c r="AZ93" s="39" t="b">
        <v>0</v>
      </c>
      <c r="BA93" s="39" t="b">
        <v>1</v>
      </c>
      <c r="BB93" s="39" t="b">
        <v>1</v>
      </c>
      <c r="BC93" s="39" t="b">
        <v>0</v>
      </c>
      <c r="BD93" s="39" t="b">
        <v>1</v>
      </c>
      <c r="BE93" s="39" t="b">
        <v>1</v>
      </c>
      <c r="BF93" s="39" t="b">
        <v>0</v>
      </c>
      <c r="BG93" s="39" t="b">
        <v>1</v>
      </c>
      <c r="BH93" s="39" t="b">
        <v>0</v>
      </c>
      <c r="BI93" s="39" t="b">
        <v>1</v>
      </c>
      <c r="BJ93" s="39" t="b">
        <v>1</v>
      </c>
      <c r="BK93" s="39" t="b">
        <v>1</v>
      </c>
      <c r="BL93" s="39" t="b">
        <v>0</v>
      </c>
      <c r="BM93" s="39" t="b">
        <v>1</v>
      </c>
      <c r="BN93" s="39" t="b">
        <v>0</v>
      </c>
      <c r="BO93" s="39" t="b">
        <v>1</v>
      </c>
      <c r="BP93" s="39" t="b">
        <v>1</v>
      </c>
      <c r="BQ93" s="39" t="b">
        <v>1</v>
      </c>
      <c r="BR93" s="39" t="b">
        <v>0</v>
      </c>
      <c r="BS93" s="39" t="b">
        <v>1</v>
      </c>
      <c r="BT93" s="40" t="b">
        <v>0</v>
      </c>
      <c r="BU93" s="40" t="b">
        <v>0</v>
      </c>
      <c r="BV93" s="40" t="b">
        <v>0</v>
      </c>
      <c r="BW93" s="40" t="b">
        <v>0</v>
      </c>
      <c r="BX93" s="19">
        <f t="shared" si="2"/>
        <v>31</v>
      </c>
      <c r="BY93" s="20">
        <f t="shared" si="3"/>
        <v>16</v>
      </c>
      <c r="BZ93" s="21">
        <f t="shared" si="4"/>
        <v>0.5161290323</v>
      </c>
      <c r="CA93" s="22" t="str">
        <f t="shared" si="5"/>
        <v>BAD IN NOV</v>
      </c>
      <c r="CB93" s="19">
        <f t="shared" si="6"/>
        <v>37</v>
      </c>
      <c r="CC93" s="20">
        <f t="shared" si="7"/>
        <v>18</v>
      </c>
      <c r="CD93" s="23">
        <f t="shared" si="8"/>
        <v>0.4864864865</v>
      </c>
      <c r="CE93" s="24" t="str">
        <f t="shared" si="9"/>
        <v>Good in dec</v>
      </c>
      <c r="CF93" s="24" t="str">
        <f t="shared" si="10"/>
        <v>NOT CONNECT</v>
      </c>
    </row>
    <row r="94">
      <c r="A94" s="36" t="s">
        <v>197</v>
      </c>
      <c r="B94" s="37" t="s">
        <v>198</v>
      </c>
      <c r="C94" s="38">
        <v>6.394145823E9</v>
      </c>
      <c r="D94" s="36" t="s">
        <v>83</v>
      </c>
      <c r="E94" s="28">
        <f t="shared" si="11"/>
        <v>64</v>
      </c>
      <c r="F94" s="28">
        <f t="shared" si="12"/>
        <v>28</v>
      </c>
      <c r="G94" s="29">
        <f t="shared" si="13"/>
        <v>44</v>
      </c>
      <c r="H94" s="28">
        <f t="shared" si="14"/>
        <v>49</v>
      </c>
      <c r="I94" s="28">
        <f t="shared" si="15"/>
        <v>23</v>
      </c>
      <c r="J94" s="35">
        <f t="shared" si="16"/>
        <v>46.93877551</v>
      </c>
      <c r="K94" s="17"/>
      <c r="L94" s="39" t="b">
        <v>0</v>
      </c>
      <c r="M94" s="39" t="b">
        <v>0</v>
      </c>
      <c r="N94" s="39" t="b">
        <v>1</v>
      </c>
      <c r="O94" s="39" t="b">
        <v>0</v>
      </c>
      <c r="P94" s="39" t="b">
        <v>0</v>
      </c>
      <c r="Q94" s="39" t="b">
        <v>0</v>
      </c>
      <c r="R94" s="39" t="b">
        <v>0</v>
      </c>
      <c r="S94" s="39" t="b">
        <v>0</v>
      </c>
      <c r="T94" s="39" t="b">
        <v>0</v>
      </c>
      <c r="U94" s="39" t="b">
        <v>0</v>
      </c>
      <c r="V94" s="39" t="b">
        <v>0</v>
      </c>
      <c r="W94" s="39" t="b">
        <v>0</v>
      </c>
      <c r="X94" s="39" t="b">
        <v>0</v>
      </c>
      <c r="Y94" s="39" t="b">
        <v>0</v>
      </c>
      <c r="Z94" s="39" t="b">
        <v>0</v>
      </c>
      <c r="AA94" s="39" t="b">
        <v>0</v>
      </c>
      <c r="AB94" s="39" t="b">
        <v>0</v>
      </c>
      <c r="AC94" s="39" t="b">
        <v>1</v>
      </c>
      <c r="AD94" s="39" t="b">
        <v>0</v>
      </c>
      <c r="AE94" s="39" t="b">
        <v>0</v>
      </c>
      <c r="AF94" s="39" t="b">
        <v>0</v>
      </c>
      <c r="AG94" s="39" t="b">
        <v>0</v>
      </c>
      <c r="AH94" s="39" t="b">
        <v>0</v>
      </c>
      <c r="AI94" s="39" t="b">
        <v>0</v>
      </c>
      <c r="AJ94" s="39" t="b">
        <v>0</v>
      </c>
      <c r="AK94" s="39" t="b">
        <v>0</v>
      </c>
      <c r="AL94" s="39" t="b">
        <v>0</v>
      </c>
      <c r="AM94" s="39" t="b">
        <v>1</v>
      </c>
      <c r="AN94" s="39" t="b">
        <v>0</v>
      </c>
      <c r="AO94" s="39" t="b">
        <v>0</v>
      </c>
      <c r="AP94" s="39" t="b">
        <v>1</v>
      </c>
      <c r="AQ94" s="39" t="b">
        <v>1</v>
      </c>
      <c r="AR94" s="39" t="b">
        <v>1</v>
      </c>
      <c r="AS94" s="39" t="b">
        <v>0</v>
      </c>
      <c r="AT94" s="39" t="b">
        <v>0</v>
      </c>
      <c r="AU94" s="39" t="b">
        <v>1</v>
      </c>
      <c r="AV94" s="39" t="b">
        <v>0</v>
      </c>
      <c r="AW94" s="39" t="b">
        <v>0</v>
      </c>
      <c r="AX94" s="39" t="b">
        <v>1</v>
      </c>
      <c r="AY94" s="39" t="b">
        <v>0</v>
      </c>
      <c r="AZ94" s="39" t="b">
        <v>0</v>
      </c>
      <c r="BA94" s="39" t="b">
        <v>0</v>
      </c>
      <c r="BB94" s="39" t="b">
        <v>0</v>
      </c>
      <c r="BC94" s="39" t="b">
        <v>1</v>
      </c>
      <c r="BD94" s="39" t="b">
        <v>0</v>
      </c>
      <c r="BE94" s="39" t="b">
        <v>1</v>
      </c>
      <c r="BF94" s="39" t="b">
        <v>1</v>
      </c>
      <c r="BG94" s="39" t="b">
        <v>1</v>
      </c>
      <c r="BH94" s="39" t="b">
        <v>1</v>
      </c>
      <c r="BI94" s="39" t="b">
        <v>1</v>
      </c>
      <c r="BJ94" s="39" t="b">
        <v>1</v>
      </c>
      <c r="BK94" s="39" t="b">
        <v>1</v>
      </c>
      <c r="BL94" s="39" t="b">
        <v>1</v>
      </c>
      <c r="BM94" s="39" t="b">
        <v>1</v>
      </c>
      <c r="BN94" s="39" t="b">
        <v>1</v>
      </c>
      <c r="BO94" s="39" t="b">
        <v>1</v>
      </c>
      <c r="BP94" s="39" t="b">
        <v>1</v>
      </c>
      <c r="BQ94" s="39" t="b">
        <v>1</v>
      </c>
      <c r="BR94" s="39" t="b">
        <v>1</v>
      </c>
      <c r="BS94" s="39" t="b">
        <v>1</v>
      </c>
      <c r="BT94" s="40" t="b">
        <v>1</v>
      </c>
      <c r="BU94" s="40" t="b">
        <v>1</v>
      </c>
      <c r="BV94" s="40" t="b">
        <v>1</v>
      </c>
      <c r="BW94" s="40" t="b">
        <v>1</v>
      </c>
      <c r="BX94" s="19">
        <f t="shared" si="2"/>
        <v>31</v>
      </c>
      <c r="BY94" s="20">
        <f t="shared" si="3"/>
        <v>22</v>
      </c>
      <c r="BZ94" s="21">
        <f t="shared" si="4"/>
        <v>0.7096774194</v>
      </c>
      <c r="CA94" s="22" t="str">
        <f t="shared" si="5"/>
        <v>GOOD IN NOV</v>
      </c>
      <c r="CB94" s="19">
        <f t="shared" si="6"/>
        <v>37</v>
      </c>
      <c r="CC94" s="20">
        <f t="shared" si="7"/>
        <v>26</v>
      </c>
      <c r="CD94" s="23">
        <f t="shared" si="8"/>
        <v>0.7027027027</v>
      </c>
      <c r="CE94" s="24" t="str">
        <f t="shared" si="9"/>
        <v>Good in dec</v>
      </c>
      <c r="CF94" s="24" t="str">
        <f t="shared" si="10"/>
        <v>NOT CONNECT</v>
      </c>
    </row>
    <row r="95">
      <c r="A95" s="36" t="s">
        <v>199</v>
      </c>
      <c r="B95" s="37" t="s">
        <v>200</v>
      </c>
      <c r="C95" s="38">
        <v>6.38901605E9</v>
      </c>
      <c r="D95" s="36" t="s">
        <v>83</v>
      </c>
      <c r="E95" s="28">
        <f t="shared" si="11"/>
        <v>64</v>
      </c>
      <c r="F95" s="28">
        <f t="shared" si="12"/>
        <v>38</v>
      </c>
      <c r="G95" s="29">
        <f t="shared" si="13"/>
        <v>59</v>
      </c>
      <c r="H95" s="28">
        <f t="shared" si="14"/>
        <v>49</v>
      </c>
      <c r="I95" s="28">
        <f t="shared" si="15"/>
        <v>32</v>
      </c>
      <c r="J95" s="35">
        <f t="shared" si="16"/>
        <v>65.30612245</v>
      </c>
      <c r="K95" s="17"/>
      <c r="L95" s="39" t="b">
        <v>0</v>
      </c>
      <c r="M95" s="39" t="b">
        <v>0</v>
      </c>
      <c r="N95" s="39" t="b">
        <v>1</v>
      </c>
      <c r="O95" s="39" t="b">
        <v>0</v>
      </c>
      <c r="P95" s="39" t="b">
        <v>0</v>
      </c>
      <c r="Q95" s="39" t="b">
        <v>0</v>
      </c>
      <c r="R95" s="39" t="b">
        <v>0</v>
      </c>
      <c r="S95" s="39" t="b">
        <v>0</v>
      </c>
      <c r="T95" s="39" t="b">
        <v>0</v>
      </c>
      <c r="U95" s="39" t="b">
        <v>0</v>
      </c>
      <c r="V95" s="39" t="b">
        <v>1</v>
      </c>
      <c r="W95" s="39" t="b">
        <v>1</v>
      </c>
      <c r="X95" s="39" t="b">
        <v>0</v>
      </c>
      <c r="Y95" s="39" t="b">
        <v>1</v>
      </c>
      <c r="Z95" s="39" t="b">
        <v>1</v>
      </c>
      <c r="AA95" s="39" t="b">
        <v>0</v>
      </c>
      <c r="AB95" s="39" t="b">
        <v>0</v>
      </c>
      <c r="AC95" s="39" t="b">
        <v>0</v>
      </c>
      <c r="AD95" s="39" t="b">
        <v>1</v>
      </c>
      <c r="AE95" s="39" t="b">
        <v>1</v>
      </c>
      <c r="AF95" s="39" t="b">
        <v>1</v>
      </c>
      <c r="AG95" s="39" t="b">
        <v>1</v>
      </c>
      <c r="AH95" s="39" t="b">
        <v>1</v>
      </c>
      <c r="AI95" s="39" t="b">
        <v>1</v>
      </c>
      <c r="AJ95" s="39" t="b">
        <v>0</v>
      </c>
      <c r="AK95" s="39" t="b">
        <v>0</v>
      </c>
      <c r="AL95" s="39" t="b">
        <v>1</v>
      </c>
      <c r="AM95" s="39" t="b">
        <v>0</v>
      </c>
      <c r="AN95" s="39" t="b">
        <v>0</v>
      </c>
      <c r="AO95" s="39" t="b">
        <v>1</v>
      </c>
      <c r="AP95" s="39" t="b">
        <v>0</v>
      </c>
      <c r="AQ95" s="39" t="b">
        <v>0</v>
      </c>
      <c r="AR95" s="39" t="b">
        <v>1</v>
      </c>
      <c r="AS95" s="39" t="b">
        <v>1</v>
      </c>
      <c r="AT95" s="39" t="b">
        <v>0</v>
      </c>
      <c r="AU95" s="39" t="b">
        <v>0</v>
      </c>
      <c r="AV95" s="39" t="b">
        <v>0</v>
      </c>
      <c r="AW95" s="39" t="b">
        <v>0</v>
      </c>
      <c r="AX95" s="39" t="b">
        <v>0</v>
      </c>
      <c r="AY95" s="39" t="b">
        <v>1</v>
      </c>
      <c r="AZ95" s="39" t="b">
        <v>1</v>
      </c>
      <c r="BA95" s="39" t="b">
        <v>1</v>
      </c>
      <c r="BB95" s="39" t="b">
        <v>1</v>
      </c>
      <c r="BC95" s="39" t="b">
        <v>0</v>
      </c>
      <c r="BD95" s="39" t="b">
        <v>1</v>
      </c>
      <c r="BE95" s="39" t="b">
        <v>1</v>
      </c>
      <c r="BF95" s="39" t="b">
        <v>0</v>
      </c>
      <c r="BG95" s="39" t="b">
        <v>1</v>
      </c>
      <c r="BH95" s="39" t="b">
        <v>1</v>
      </c>
      <c r="BI95" s="39" t="b">
        <v>1</v>
      </c>
      <c r="BJ95" s="39" t="b">
        <v>1</v>
      </c>
      <c r="BK95" s="39" t="b">
        <v>1</v>
      </c>
      <c r="BL95" s="39" t="b">
        <v>1</v>
      </c>
      <c r="BM95" s="39" t="b">
        <v>1</v>
      </c>
      <c r="BN95" s="39" t="b">
        <v>1</v>
      </c>
      <c r="BO95" s="39" t="b">
        <v>1</v>
      </c>
      <c r="BP95" s="39" t="b">
        <v>1</v>
      </c>
      <c r="BQ95" s="39" t="b">
        <v>1</v>
      </c>
      <c r="BR95" s="39" t="b">
        <v>1</v>
      </c>
      <c r="BS95" s="39" t="b">
        <v>1</v>
      </c>
      <c r="BT95" s="40" t="b">
        <v>1</v>
      </c>
      <c r="BU95" s="40" t="b">
        <v>1</v>
      </c>
      <c r="BV95" s="40" t="b">
        <v>1</v>
      </c>
      <c r="BW95" s="40" t="b">
        <v>1</v>
      </c>
      <c r="BX95" s="19">
        <f t="shared" si="2"/>
        <v>31</v>
      </c>
      <c r="BY95" s="20">
        <f t="shared" si="3"/>
        <v>24</v>
      </c>
      <c r="BZ95" s="21">
        <f t="shared" si="4"/>
        <v>0.7741935484</v>
      </c>
      <c r="CA95" s="22" t="str">
        <f t="shared" si="5"/>
        <v>GOOD IN NOV</v>
      </c>
      <c r="CB95" s="19">
        <f t="shared" si="6"/>
        <v>37</v>
      </c>
      <c r="CC95" s="20">
        <f t="shared" si="7"/>
        <v>26</v>
      </c>
      <c r="CD95" s="23">
        <f t="shared" si="8"/>
        <v>0.7027027027</v>
      </c>
      <c r="CE95" s="24" t="str">
        <f t="shared" si="9"/>
        <v>Good in dec</v>
      </c>
      <c r="CF95" s="24" t="str">
        <f t="shared" si="10"/>
        <v>NOT CONNECT</v>
      </c>
    </row>
    <row r="96">
      <c r="A96" s="36" t="s">
        <v>201</v>
      </c>
      <c r="B96" s="37" t="s">
        <v>202</v>
      </c>
      <c r="C96" s="38">
        <v>9.773806621E9</v>
      </c>
      <c r="D96" s="36" t="s">
        <v>203</v>
      </c>
      <c r="E96" s="28">
        <f t="shared" si="11"/>
        <v>64</v>
      </c>
      <c r="F96" s="28">
        <f t="shared" si="12"/>
        <v>46</v>
      </c>
      <c r="G96" s="32">
        <f t="shared" si="13"/>
        <v>72</v>
      </c>
      <c r="H96" s="28">
        <f t="shared" si="14"/>
        <v>49</v>
      </c>
      <c r="I96" s="28">
        <f t="shared" si="15"/>
        <v>35</v>
      </c>
      <c r="J96" s="30">
        <f t="shared" si="16"/>
        <v>71.42857143</v>
      </c>
      <c r="K96" s="17"/>
      <c r="L96" s="39" t="b">
        <v>1</v>
      </c>
      <c r="M96" s="39" t="b">
        <v>1</v>
      </c>
      <c r="N96" s="39" t="b">
        <v>1</v>
      </c>
      <c r="O96" s="39" t="b">
        <v>1</v>
      </c>
      <c r="P96" s="39" t="b">
        <v>0</v>
      </c>
      <c r="Q96" s="39" t="b">
        <v>0</v>
      </c>
      <c r="R96" s="39" t="b">
        <v>0</v>
      </c>
      <c r="S96" s="39" t="b">
        <v>0</v>
      </c>
      <c r="T96" s="39" t="b">
        <v>0</v>
      </c>
      <c r="U96" s="39" t="b">
        <v>0</v>
      </c>
      <c r="V96" s="39" t="b">
        <v>0</v>
      </c>
      <c r="W96" s="39" t="b">
        <v>0</v>
      </c>
      <c r="X96" s="39" t="b">
        <v>0</v>
      </c>
      <c r="Y96" s="39" t="b">
        <v>0</v>
      </c>
      <c r="Z96" s="39" t="b">
        <v>0</v>
      </c>
      <c r="AA96" s="39" t="b">
        <v>1</v>
      </c>
      <c r="AB96" s="39" t="b">
        <v>1</v>
      </c>
      <c r="AC96" s="39" t="b">
        <v>1</v>
      </c>
      <c r="AD96" s="39" t="b">
        <v>1</v>
      </c>
      <c r="AE96" s="39" t="b">
        <v>1</v>
      </c>
      <c r="AF96" s="39" t="b">
        <v>1</v>
      </c>
      <c r="AG96" s="39" t="b">
        <v>1</v>
      </c>
      <c r="AH96" s="39" t="b">
        <v>1</v>
      </c>
      <c r="AI96" s="39" t="b">
        <v>1</v>
      </c>
      <c r="AJ96" s="39" t="b">
        <v>1</v>
      </c>
      <c r="AK96" s="39" t="b">
        <v>1</v>
      </c>
      <c r="AL96" s="39" t="b">
        <v>1</v>
      </c>
      <c r="AM96" s="39" t="b">
        <v>1</v>
      </c>
      <c r="AN96" s="39" t="b">
        <v>0</v>
      </c>
      <c r="AO96" s="39" t="b">
        <v>1</v>
      </c>
      <c r="AP96" s="39" t="b">
        <v>1</v>
      </c>
      <c r="AQ96" s="39" t="b">
        <v>1</v>
      </c>
      <c r="AR96" s="39" t="b">
        <v>1</v>
      </c>
      <c r="AS96" s="39" t="b">
        <v>1</v>
      </c>
      <c r="AT96" s="39" t="b">
        <v>1</v>
      </c>
      <c r="AU96" s="39" t="b">
        <v>1</v>
      </c>
      <c r="AV96" s="39" t="b">
        <v>1</v>
      </c>
      <c r="AW96" s="39" t="b">
        <v>1</v>
      </c>
      <c r="AX96" s="39" t="b">
        <v>1</v>
      </c>
      <c r="AY96" s="39" t="b">
        <v>1</v>
      </c>
      <c r="AZ96" s="39" t="b">
        <v>1</v>
      </c>
      <c r="BA96" s="39" t="b">
        <v>1</v>
      </c>
      <c r="BB96" s="39" t="b">
        <v>1</v>
      </c>
      <c r="BC96" s="39" t="b">
        <v>1</v>
      </c>
      <c r="BD96" s="39" t="b">
        <v>1</v>
      </c>
      <c r="BE96" s="39" t="b">
        <v>1</v>
      </c>
      <c r="BF96" s="39" t="b">
        <v>0</v>
      </c>
      <c r="BG96" s="39" t="b">
        <v>0</v>
      </c>
      <c r="BH96" s="39" t="b">
        <v>0</v>
      </c>
      <c r="BI96" s="39" t="b">
        <v>1</v>
      </c>
      <c r="BJ96" s="39" t="b">
        <v>1</v>
      </c>
      <c r="BK96" s="39" t="b">
        <v>1</v>
      </c>
      <c r="BL96" s="39" t="b">
        <v>1</v>
      </c>
      <c r="BM96" s="39" t="b">
        <v>1</v>
      </c>
      <c r="BN96" s="39" t="b">
        <v>1</v>
      </c>
      <c r="BO96" s="39" t="b">
        <v>0</v>
      </c>
      <c r="BP96" s="39" t="b">
        <v>1</v>
      </c>
      <c r="BQ96" s="39" t="b">
        <v>1</v>
      </c>
      <c r="BR96" s="39" t="b">
        <v>1</v>
      </c>
      <c r="BS96" s="39" t="b">
        <v>1</v>
      </c>
      <c r="BT96" s="40" t="b">
        <v>1</v>
      </c>
      <c r="BU96" s="40" t="b">
        <v>0</v>
      </c>
      <c r="BV96" s="40" t="b">
        <v>0</v>
      </c>
      <c r="BW96" s="40" t="b">
        <v>1</v>
      </c>
      <c r="BX96" s="19">
        <f t="shared" si="2"/>
        <v>31</v>
      </c>
      <c r="BY96" s="20">
        <f t="shared" si="3"/>
        <v>25</v>
      </c>
      <c r="BZ96" s="21">
        <f t="shared" si="4"/>
        <v>0.8064516129</v>
      </c>
      <c r="CA96" s="22" t="str">
        <f t="shared" si="5"/>
        <v>GOOD IN NOV</v>
      </c>
      <c r="CB96" s="19">
        <f t="shared" si="6"/>
        <v>37</v>
      </c>
      <c r="CC96" s="20">
        <f t="shared" si="7"/>
        <v>30</v>
      </c>
      <c r="CD96" s="23">
        <f t="shared" si="8"/>
        <v>0.8108108108</v>
      </c>
      <c r="CE96" s="24" t="str">
        <f t="shared" si="9"/>
        <v>Good in dec</v>
      </c>
      <c r="CF96" s="24" t="str">
        <f t="shared" si="10"/>
        <v>NOT CONNECT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0</v>
      </c>
      <c r="B1" s="44" t="s">
        <v>1</v>
      </c>
      <c r="C1" s="45" t="s">
        <v>204</v>
      </c>
      <c r="D1" s="44" t="s">
        <v>3</v>
      </c>
      <c r="E1" s="46" t="s">
        <v>205</v>
      </c>
      <c r="F1" s="46" t="s">
        <v>206</v>
      </c>
      <c r="G1" s="47" t="s">
        <v>207</v>
      </c>
      <c r="H1" s="48"/>
      <c r="I1" s="11">
        <v>46096.0</v>
      </c>
      <c r="J1" s="11">
        <v>46095.0</v>
      </c>
      <c r="K1" s="11">
        <v>46089.0</v>
      </c>
      <c r="L1" s="11">
        <v>46088.0</v>
      </c>
      <c r="M1" s="11">
        <v>46082.0</v>
      </c>
      <c r="N1" s="11">
        <v>46081.0</v>
      </c>
      <c r="O1" s="11">
        <v>46075.0</v>
      </c>
      <c r="P1" s="11">
        <v>46074.0</v>
      </c>
      <c r="Q1" s="11">
        <v>46068.0</v>
      </c>
      <c r="R1" s="11">
        <v>46067.0</v>
      </c>
      <c r="S1" s="11">
        <v>46061.0</v>
      </c>
      <c r="T1" s="11">
        <v>46060.0</v>
      </c>
      <c r="U1" s="11">
        <v>46054.0</v>
      </c>
      <c r="V1" s="11">
        <v>46053.0</v>
      </c>
      <c r="W1" s="11">
        <v>46047.0</v>
      </c>
      <c r="X1" s="11">
        <v>46046.0</v>
      </c>
      <c r="Y1" s="11">
        <v>46040.0</v>
      </c>
      <c r="Z1" s="11">
        <v>46039.0</v>
      </c>
      <c r="AA1" s="11">
        <v>46033.0</v>
      </c>
      <c r="AB1" s="11">
        <v>46032.0</v>
      </c>
      <c r="AC1" s="11">
        <v>46026.0</v>
      </c>
      <c r="AD1" s="11">
        <v>46025.0</v>
      </c>
      <c r="AE1" s="11">
        <v>46012.0</v>
      </c>
      <c r="AF1" s="11">
        <v>46011.0</v>
      </c>
      <c r="AG1" s="11">
        <v>46005.0</v>
      </c>
      <c r="AH1" s="11">
        <v>46004.0</v>
      </c>
      <c r="AI1" s="11">
        <v>45998.0</v>
      </c>
      <c r="AJ1" s="11">
        <v>45997.0</v>
      </c>
      <c r="AK1" s="11">
        <v>45991.0</v>
      </c>
      <c r="AL1" s="11">
        <v>45990.0</v>
      </c>
      <c r="AM1" s="11">
        <v>45984.0</v>
      </c>
      <c r="AN1" s="11">
        <v>45983.0</v>
      </c>
      <c r="AO1" s="11">
        <v>45977.0</v>
      </c>
      <c r="AP1" s="48"/>
      <c r="AQ1" s="44" t="s">
        <v>208</v>
      </c>
    </row>
    <row r="2">
      <c r="A2" s="49" t="s">
        <v>209</v>
      </c>
      <c r="B2" s="49" t="s">
        <v>210</v>
      </c>
      <c r="C2" s="50" t="s">
        <v>211</v>
      </c>
      <c r="D2" s="49" t="s">
        <v>212</v>
      </c>
      <c r="E2" s="51">
        <f t="shared" ref="E2:E248" si="1">COUNTIF($H2:AQ2,TRUE) + COUNTIF($H2:AQ2,FALSE)</f>
        <v>33</v>
      </c>
      <c r="F2" s="51">
        <f t="shared" ref="F2:F248" si="2">COUNTIF($H2:AQ2,TRUE)</f>
        <v>28</v>
      </c>
      <c r="G2" s="52">
        <f t="shared" ref="G2:G248" si="3">($F2/$E2)*100</f>
        <v>84.84848485</v>
      </c>
      <c r="H2" s="49"/>
      <c r="I2" s="53" t="b">
        <v>1</v>
      </c>
      <c r="J2" s="53" t="b">
        <v>0</v>
      </c>
      <c r="K2" s="53" t="b">
        <v>1</v>
      </c>
      <c r="L2" s="53" t="b">
        <v>1</v>
      </c>
      <c r="M2" s="53" t="b">
        <v>1</v>
      </c>
      <c r="N2" s="53" t="b">
        <v>1</v>
      </c>
      <c r="O2" s="53" t="b">
        <v>1</v>
      </c>
      <c r="P2" s="53" t="b">
        <v>0</v>
      </c>
      <c r="Q2" s="53" t="b">
        <v>1</v>
      </c>
      <c r="R2" s="53" t="b">
        <v>1</v>
      </c>
      <c r="S2" s="53" t="b">
        <v>1</v>
      </c>
      <c r="T2" s="53" t="b">
        <v>0</v>
      </c>
      <c r="U2" s="53" t="b">
        <v>1</v>
      </c>
      <c r="V2" s="53" t="b">
        <v>1</v>
      </c>
      <c r="W2" s="53" t="b">
        <v>1</v>
      </c>
      <c r="X2" s="53" t="b">
        <v>1</v>
      </c>
      <c r="Y2" s="53" t="b">
        <v>1</v>
      </c>
      <c r="Z2" s="53" t="b">
        <v>1</v>
      </c>
      <c r="AA2" s="53" t="b">
        <v>1</v>
      </c>
      <c r="AB2" s="53" t="b">
        <v>1</v>
      </c>
      <c r="AC2" s="53" t="b">
        <v>1</v>
      </c>
      <c r="AD2" s="53" t="b">
        <v>0</v>
      </c>
      <c r="AE2" s="53" t="b">
        <v>1</v>
      </c>
      <c r="AF2" s="53" t="b">
        <v>0</v>
      </c>
      <c r="AG2" s="53" t="b">
        <v>1</v>
      </c>
      <c r="AH2" s="53" t="b">
        <v>1</v>
      </c>
      <c r="AI2" s="53" t="b">
        <v>1</v>
      </c>
      <c r="AJ2" s="53" t="b">
        <v>1</v>
      </c>
      <c r="AK2" s="53" t="b">
        <v>1</v>
      </c>
      <c r="AL2" s="53" t="b">
        <v>1</v>
      </c>
      <c r="AM2" s="53" t="b">
        <v>1</v>
      </c>
      <c r="AN2" s="53" t="b">
        <v>1</v>
      </c>
      <c r="AO2" s="53" t="b">
        <v>1</v>
      </c>
      <c r="AP2" s="17"/>
      <c r="AQ2" s="54">
        <f t="shared" ref="AQ2:AQ130" si="4">COUNTIF(AG2:AO2,TRUE)</f>
        <v>9</v>
      </c>
    </row>
    <row r="3">
      <c r="A3" s="49" t="s">
        <v>213</v>
      </c>
      <c r="B3" s="49" t="s">
        <v>214</v>
      </c>
      <c r="C3" s="50" t="s">
        <v>215</v>
      </c>
      <c r="D3" s="49" t="s">
        <v>212</v>
      </c>
      <c r="E3" s="51">
        <f t="shared" si="1"/>
        <v>33</v>
      </c>
      <c r="F3" s="51">
        <f t="shared" si="2"/>
        <v>21</v>
      </c>
      <c r="G3" s="55">
        <f t="shared" si="3"/>
        <v>63.63636364</v>
      </c>
      <c r="H3" s="49"/>
      <c r="I3" s="53" t="b">
        <v>0</v>
      </c>
      <c r="J3" s="53" t="b">
        <v>0</v>
      </c>
      <c r="K3" s="53" t="b">
        <v>1</v>
      </c>
      <c r="L3" s="53" t="b">
        <v>1</v>
      </c>
      <c r="M3" s="53" t="b">
        <v>0</v>
      </c>
      <c r="N3" s="53" t="b">
        <v>0</v>
      </c>
      <c r="O3" s="53" t="b">
        <v>1</v>
      </c>
      <c r="P3" s="53" t="b">
        <v>1</v>
      </c>
      <c r="Q3" s="53" t="b">
        <v>1</v>
      </c>
      <c r="R3" s="53" t="b">
        <v>0</v>
      </c>
      <c r="S3" s="53" t="b">
        <v>1</v>
      </c>
      <c r="T3" s="53" t="b">
        <v>0</v>
      </c>
      <c r="U3" s="53" t="b">
        <v>0</v>
      </c>
      <c r="V3" s="53" t="b">
        <v>0</v>
      </c>
      <c r="W3" s="53" t="b">
        <v>1</v>
      </c>
      <c r="X3" s="53" t="b">
        <v>1</v>
      </c>
      <c r="Y3" s="53" t="b">
        <v>1</v>
      </c>
      <c r="Z3" s="53" t="b">
        <v>1</v>
      </c>
      <c r="AA3" s="53" t="b">
        <v>0</v>
      </c>
      <c r="AB3" s="53" t="b">
        <v>0</v>
      </c>
      <c r="AC3" s="53" t="b">
        <v>0</v>
      </c>
      <c r="AD3" s="53" t="b">
        <v>1</v>
      </c>
      <c r="AE3" s="53" t="b">
        <v>1</v>
      </c>
      <c r="AF3" s="53" t="b">
        <v>0</v>
      </c>
      <c r="AG3" s="53" t="b">
        <v>1</v>
      </c>
      <c r="AH3" s="53" t="b">
        <v>1</v>
      </c>
      <c r="AI3" s="53" t="b">
        <v>1</v>
      </c>
      <c r="AJ3" s="53" t="b">
        <v>1</v>
      </c>
      <c r="AK3" s="53" t="b">
        <v>1</v>
      </c>
      <c r="AL3" s="53" t="b">
        <v>1</v>
      </c>
      <c r="AM3" s="53" t="b">
        <v>1</v>
      </c>
      <c r="AN3" s="53" t="b">
        <v>1</v>
      </c>
      <c r="AO3" s="53" t="b">
        <v>1</v>
      </c>
      <c r="AP3" s="49"/>
      <c r="AQ3" s="54">
        <f t="shared" si="4"/>
        <v>9</v>
      </c>
    </row>
    <row r="4">
      <c r="A4" s="49" t="s">
        <v>216</v>
      </c>
      <c r="B4" s="49" t="s">
        <v>217</v>
      </c>
      <c r="C4" s="50" t="s">
        <v>218</v>
      </c>
      <c r="D4" s="49" t="s">
        <v>212</v>
      </c>
      <c r="E4" s="51">
        <f t="shared" si="1"/>
        <v>32</v>
      </c>
      <c r="F4" s="51">
        <f t="shared" si="2"/>
        <v>15</v>
      </c>
      <c r="G4" s="55">
        <f t="shared" si="3"/>
        <v>46.875</v>
      </c>
      <c r="H4" s="49"/>
      <c r="I4" s="53" t="b">
        <v>0</v>
      </c>
      <c r="J4" s="53" t="b">
        <v>0</v>
      </c>
      <c r="K4" s="53" t="b">
        <v>0</v>
      </c>
      <c r="L4" s="53" t="b">
        <v>0</v>
      </c>
      <c r="M4" s="53" t="b">
        <v>0</v>
      </c>
      <c r="N4" s="53" t="b">
        <v>0</v>
      </c>
      <c r="O4" s="53" t="b">
        <v>0</v>
      </c>
      <c r="P4" s="53" t="b">
        <v>0</v>
      </c>
      <c r="Q4" s="53" t="b">
        <v>0</v>
      </c>
      <c r="R4" s="53" t="b">
        <v>0</v>
      </c>
      <c r="S4" s="53" t="b">
        <v>0</v>
      </c>
      <c r="T4" s="53" t="b">
        <v>1</v>
      </c>
      <c r="U4" s="53" t="b">
        <v>0</v>
      </c>
      <c r="V4" s="53" t="b">
        <v>0</v>
      </c>
      <c r="W4" s="53" t="b">
        <v>1</v>
      </c>
      <c r="X4" s="53" t="b">
        <v>1</v>
      </c>
      <c r="Y4" s="53" t="b">
        <v>0</v>
      </c>
      <c r="Z4" s="53" t="b">
        <v>0</v>
      </c>
      <c r="AA4" s="53" t="b">
        <v>0</v>
      </c>
      <c r="AB4" s="53" t="b">
        <v>1</v>
      </c>
      <c r="AC4" s="56"/>
      <c r="AD4" s="53" t="b">
        <v>1</v>
      </c>
      <c r="AE4" s="53" t="b">
        <v>1</v>
      </c>
      <c r="AF4" s="53" t="b">
        <v>1</v>
      </c>
      <c r="AG4" s="53" t="b">
        <v>1</v>
      </c>
      <c r="AH4" s="53" t="b">
        <v>1</v>
      </c>
      <c r="AI4" s="53" t="b">
        <v>1</v>
      </c>
      <c r="AJ4" s="53" t="b">
        <v>0</v>
      </c>
      <c r="AK4" s="53" t="b">
        <v>1</v>
      </c>
      <c r="AL4" s="53" t="b">
        <v>1</v>
      </c>
      <c r="AM4" s="53" t="b">
        <v>1</v>
      </c>
      <c r="AN4" s="53" t="b">
        <v>1</v>
      </c>
      <c r="AO4" s="53" t="b">
        <v>1</v>
      </c>
      <c r="AP4" s="49"/>
      <c r="AQ4" s="54">
        <f t="shared" si="4"/>
        <v>8</v>
      </c>
    </row>
    <row r="5">
      <c r="A5" s="49" t="s">
        <v>219</v>
      </c>
      <c r="B5" s="49" t="s">
        <v>220</v>
      </c>
      <c r="C5" s="50" t="s">
        <v>221</v>
      </c>
      <c r="D5" s="49" t="s">
        <v>212</v>
      </c>
      <c r="E5" s="51">
        <f t="shared" si="1"/>
        <v>33</v>
      </c>
      <c r="F5" s="51">
        <f t="shared" si="2"/>
        <v>29</v>
      </c>
      <c r="G5" s="52">
        <f t="shared" si="3"/>
        <v>87.87878788</v>
      </c>
      <c r="H5" s="49"/>
      <c r="I5" s="53" t="b">
        <v>1</v>
      </c>
      <c r="J5" s="53" t="b">
        <v>1</v>
      </c>
      <c r="K5" s="53" t="b">
        <v>1</v>
      </c>
      <c r="L5" s="53" t="b">
        <v>0</v>
      </c>
      <c r="M5" s="53" t="b">
        <v>1</v>
      </c>
      <c r="N5" s="53" t="b">
        <v>1</v>
      </c>
      <c r="O5" s="53" t="b">
        <v>1</v>
      </c>
      <c r="P5" s="53" t="b">
        <v>1</v>
      </c>
      <c r="Q5" s="53" t="b">
        <v>1</v>
      </c>
      <c r="R5" s="53" t="b">
        <v>1</v>
      </c>
      <c r="S5" s="53" t="b">
        <v>1</v>
      </c>
      <c r="T5" s="53" t="b">
        <v>0</v>
      </c>
      <c r="U5" s="53" t="b">
        <v>1</v>
      </c>
      <c r="V5" s="53" t="b">
        <v>1</v>
      </c>
      <c r="W5" s="53" t="b">
        <v>1</v>
      </c>
      <c r="X5" s="53" t="b">
        <v>1</v>
      </c>
      <c r="Y5" s="53" t="b">
        <v>1</v>
      </c>
      <c r="Z5" s="53" t="b">
        <v>1</v>
      </c>
      <c r="AA5" s="53" t="b">
        <v>1</v>
      </c>
      <c r="AB5" s="53" t="b">
        <v>1</v>
      </c>
      <c r="AC5" s="53" t="b">
        <v>0</v>
      </c>
      <c r="AD5" s="53" t="b">
        <v>1</v>
      </c>
      <c r="AE5" s="53" t="b">
        <v>1</v>
      </c>
      <c r="AF5" s="53" t="b">
        <v>1</v>
      </c>
      <c r="AG5" s="53" t="b">
        <v>1</v>
      </c>
      <c r="AH5" s="53" t="b">
        <v>1</v>
      </c>
      <c r="AI5" s="53" t="b">
        <v>1</v>
      </c>
      <c r="AJ5" s="53" t="b">
        <v>0</v>
      </c>
      <c r="AK5" s="53" t="b">
        <v>1</v>
      </c>
      <c r="AL5" s="53" t="b">
        <v>1</v>
      </c>
      <c r="AM5" s="53" t="b">
        <v>1</v>
      </c>
      <c r="AN5" s="53" t="b">
        <v>1</v>
      </c>
      <c r="AO5" s="53" t="b">
        <v>1</v>
      </c>
      <c r="AP5" s="49"/>
      <c r="AQ5" s="54">
        <f t="shared" si="4"/>
        <v>8</v>
      </c>
    </row>
    <row r="6">
      <c r="A6" s="49" t="s">
        <v>222</v>
      </c>
      <c r="B6" s="49" t="s">
        <v>223</v>
      </c>
      <c r="C6" s="50" t="s">
        <v>224</v>
      </c>
      <c r="D6" s="49" t="s">
        <v>212</v>
      </c>
      <c r="E6" s="51">
        <f t="shared" si="1"/>
        <v>33</v>
      </c>
      <c r="F6" s="51">
        <f t="shared" si="2"/>
        <v>30</v>
      </c>
      <c r="G6" s="52">
        <f t="shared" si="3"/>
        <v>90.90909091</v>
      </c>
      <c r="H6" s="49"/>
      <c r="I6" s="53" t="b">
        <v>1</v>
      </c>
      <c r="J6" s="53" t="b">
        <v>1</v>
      </c>
      <c r="K6" s="53" t="b">
        <v>0</v>
      </c>
      <c r="L6" s="53" t="b">
        <v>1</v>
      </c>
      <c r="M6" s="53" t="b">
        <v>1</v>
      </c>
      <c r="N6" s="53" t="b">
        <v>1</v>
      </c>
      <c r="O6" s="53" t="b">
        <v>1</v>
      </c>
      <c r="P6" s="53" t="b">
        <v>1</v>
      </c>
      <c r="Q6" s="53" t="b">
        <v>1</v>
      </c>
      <c r="R6" s="53" t="b">
        <v>1</v>
      </c>
      <c r="S6" s="53" t="b">
        <v>1</v>
      </c>
      <c r="T6" s="53" t="b">
        <v>1</v>
      </c>
      <c r="U6" s="53" t="b">
        <v>0</v>
      </c>
      <c r="V6" s="53" t="b">
        <v>0</v>
      </c>
      <c r="W6" s="53" t="b">
        <v>1</v>
      </c>
      <c r="X6" s="53" t="b">
        <v>1</v>
      </c>
      <c r="Y6" s="53" t="b">
        <v>1</v>
      </c>
      <c r="Z6" s="53" t="b">
        <v>1</v>
      </c>
      <c r="AA6" s="53" t="b">
        <v>1</v>
      </c>
      <c r="AB6" s="53" t="b">
        <v>1</v>
      </c>
      <c r="AC6" s="53" t="b">
        <v>1</v>
      </c>
      <c r="AD6" s="53" t="b">
        <v>1</v>
      </c>
      <c r="AE6" s="53" t="b">
        <v>1</v>
      </c>
      <c r="AF6" s="53" t="b">
        <v>1</v>
      </c>
      <c r="AG6" s="53" t="b">
        <v>1</v>
      </c>
      <c r="AH6" s="53" t="b">
        <v>1</v>
      </c>
      <c r="AI6" s="53" t="b">
        <v>1</v>
      </c>
      <c r="AJ6" s="53" t="b">
        <v>1</v>
      </c>
      <c r="AK6" s="53" t="b">
        <v>1</v>
      </c>
      <c r="AL6" s="53" t="b">
        <v>1</v>
      </c>
      <c r="AM6" s="53" t="b">
        <v>1</v>
      </c>
      <c r="AN6" s="53" t="b">
        <v>1</v>
      </c>
      <c r="AO6" s="53" t="b">
        <v>1</v>
      </c>
      <c r="AP6" s="49"/>
      <c r="AQ6" s="54">
        <f t="shared" si="4"/>
        <v>9</v>
      </c>
    </row>
    <row r="7">
      <c r="A7" s="49" t="s">
        <v>225</v>
      </c>
      <c r="B7" s="49" t="s">
        <v>226</v>
      </c>
      <c r="C7" s="50" t="s">
        <v>227</v>
      </c>
      <c r="D7" s="49" t="s">
        <v>212</v>
      </c>
      <c r="E7" s="51">
        <f t="shared" si="1"/>
        <v>33</v>
      </c>
      <c r="F7" s="51">
        <f t="shared" si="2"/>
        <v>19</v>
      </c>
      <c r="G7" s="55">
        <f t="shared" si="3"/>
        <v>57.57575758</v>
      </c>
      <c r="H7" s="49"/>
      <c r="I7" s="53" t="b">
        <v>0</v>
      </c>
      <c r="J7" s="53" t="b">
        <v>0</v>
      </c>
      <c r="K7" s="53" t="b">
        <v>0</v>
      </c>
      <c r="L7" s="53" t="b">
        <v>0</v>
      </c>
      <c r="M7" s="53" t="b">
        <v>0</v>
      </c>
      <c r="N7" s="53" t="b">
        <v>0</v>
      </c>
      <c r="O7" s="53" t="b">
        <v>0</v>
      </c>
      <c r="P7" s="53" t="b">
        <v>0</v>
      </c>
      <c r="Q7" s="53" t="b">
        <v>1</v>
      </c>
      <c r="R7" s="53" t="b">
        <v>0</v>
      </c>
      <c r="S7" s="53" t="b">
        <v>1</v>
      </c>
      <c r="T7" s="53" t="b">
        <v>1</v>
      </c>
      <c r="U7" s="53" t="b">
        <v>0</v>
      </c>
      <c r="V7" s="53" t="b">
        <v>0</v>
      </c>
      <c r="W7" s="53" t="b">
        <v>0</v>
      </c>
      <c r="X7" s="53" t="b">
        <v>1</v>
      </c>
      <c r="Y7" s="53" t="b">
        <v>0</v>
      </c>
      <c r="Z7" s="53" t="b">
        <v>1</v>
      </c>
      <c r="AA7" s="53" t="b">
        <v>1</v>
      </c>
      <c r="AB7" s="53" t="b">
        <v>1</v>
      </c>
      <c r="AC7" s="53" t="b">
        <v>1</v>
      </c>
      <c r="AD7" s="53" t="b">
        <v>1</v>
      </c>
      <c r="AE7" s="53" t="b">
        <v>1</v>
      </c>
      <c r="AF7" s="53" t="b">
        <v>1</v>
      </c>
      <c r="AG7" s="53" t="b">
        <v>1</v>
      </c>
      <c r="AH7" s="53" t="b">
        <v>0</v>
      </c>
      <c r="AI7" s="53" t="b">
        <v>1</v>
      </c>
      <c r="AJ7" s="53" t="b">
        <v>1</v>
      </c>
      <c r="AK7" s="53" t="b">
        <v>1</v>
      </c>
      <c r="AL7" s="53" t="b">
        <v>1</v>
      </c>
      <c r="AM7" s="53" t="b">
        <v>1</v>
      </c>
      <c r="AN7" s="53" t="b">
        <v>1</v>
      </c>
      <c r="AO7" s="53" t="b">
        <v>1</v>
      </c>
      <c r="AP7" s="49"/>
      <c r="AQ7" s="54">
        <f t="shared" si="4"/>
        <v>8</v>
      </c>
    </row>
    <row r="8">
      <c r="A8" s="49" t="s">
        <v>228</v>
      </c>
      <c r="B8" s="49" t="s">
        <v>229</v>
      </c>
      <c r="C8" s="50" t="s">
        <v>230</v>
      </c>
      <c r="D8" s="49" t="s">
        <v>212</v>
      </c>
      <c r="E8" s="51">
        <f t="shared" si="1"/>
        <v>33</v>
      </c>
      <c r="F8" s="51">
        <f t="shared" si="2"/>
        <v>32</v>
      </c>
      <c r="G8" s="52">
        <f t="shared" si="3"/>
        <v>96.96969697</v>
      </c>
      <c r="H8" s="49"/>
      <c r="I8" s="53" t="b">
        <v>1</v>
      </c>
      <c r="J8" s="53" t="b">
        <v>1</v>
      </c>
      <c r="K8" s="53" t="b">
        <v>1</v>
      </c>
      <c r="L8" s="53" t="b">
        <v>1</v>
      </c>
      <c r="M8" s="53" t="b">
        <v>1</v>
      </c>
      <c r="N8" s="53" t="b">
        <v>1</v>
      </c>
      <c r="O8" s="53" t="b">
        <v>1</v>
      </c>
      <c r="P8" s="53" t="b">
        <v>1</v>
      </c>
      <c r="Q8" s="53" t="b">
        <v>1</v>
      </c>
      <c r="R8" s="53" t="b">
        <v>0</v>
      </c>
      <c r="S8" s="53" t="b">
        <v>1</v>
      </c>
      <c r="T8" s="53" t="b">
        <v>1</v>
      </c>
      <c r="U8" s="53" t="b">
        <v>1</v>
      </c>
      <c r="V8" s="53" t="b">
        <v>1</v>
      </c>
      <c r="W8" s="53" t="b">
        <v>1</v>
      </c>
      <c r="X8" s="53" t="b">
        <v>1</v>
      </c>
      <c r="Y8" s="53" t="b">
        <v>1</v>
      </c>
      <c r="Z8" s="53" t="b">
        <v>1</v>
      </c>
      <c r="AA8" s="53" t="b">
        <v>1</v>
      </c>
      <c r="AB8" s="53" t="b">
        <v>1</v>
      </c>
      <c r="AC8" s="53" t="b">
        <v>1</v>
      </c>
      <c r="AD8" s="53" t="b">
        <v>1</v>
      </c>
      <c r="AE8" s="53" t="b">
        <v>1</v>
      </c>
      <c r="AF8" s="53" t="b">
        <v>1</v>
      </c>
      <c r="AG8" s="53" t="b">
        <v>1</v>
      </c>
      <c r="AH8" s="53" t="b">
        <v>1</v>
      </c>
      <c r="AI8" s="53" t="b">
        <v>1</v>
      </c>
      <c r="AJ8" s="53" t="b">
        <v>1</v>
      </c>
      <c r="AK8" s="53" t="b">
        <v>1</v>
      </c>
      <c r="AL8" s="53" t="b">
        <v>1</v>
      </c>
      <c r="AM8" s="53" t="b">
        <v>1</v>
      </c>
      <c r="AN8" s="53" t="b">
        <v>1</v>
      </c>
      <c r="AO8" s="53" t="b">
        <v>1</v>
      </c>
      <c r="AP8" s="49"/>
      <c r="AQ8" s="54">
        <f t="shared" si="4"/>
        <v>9</v>
      </c>
    </row>
    <row r="9">
      <c r="A9" s="41" t="s">
        <v>231</v>
      </c>
      <c r="B9" s="41" t="s">
        <v>232</v>
      </c>
      <c r="C9" s="57" t="s">
        <v>233</v>
      </c>
      <c r="D9" s="41" t="s">
        <v>22</v>
      </c>
      <c r="E9" s="37">
        <f t="shared" si="1"/>
        <v>33</v>
      </c>
      <c r="F9" s="37">
        <f t="shared" si="2"/>
        <v>28</v>
      </c>
      <c r="G9" s="52">
        <f t="shared" si="3"/>
        <v>84.84848485</v>
      </c>
      <c r="H9" s="41"/>
      <c r="I9" s="58" t="b">
        <v>1</v>
      </c>
      <c r="J9" s="58" t="b">
        <v>1</v>
      </c>
      <c r="K9" s="58" t="b">
        <v>1</v>
      </c>
      <c r="L9" s="58" t="b">
        <v>0</v>
      </c>
      <c r="M9" s="58" t="b">
        <v>1</v>
      </c>
      <c r="N9" s="58" t="b">
        <v>1</v>
      </c>
      <c r="O9" s="58" t="b">
        <v>1</v>
      </c>
      <c r="P9" s="58" t="b">
        <v>1</v>
      </c>
      <c r="Q9" s="58" t="b">
        <v>1</v>
      </c>
      <c r="R9" s="58" t="b">
        <v>1</v>
      </c>
      <c r="S9" s="58" t="b">
        <v>1</v>
      </c>
      <c r="T9" s="58" t="b">
        <v>0</v>
      </c>
      <c r="U9" s="58" t="b">
        <v>1</v>
      </c>
      <c r="V9" s="58" t="b">
        <v>1</v>
      </c>
      <c r="W9" s="58" t="b">
        <v>1</v>
      </c>
      <c r="X9" s="58" t="b">
        <v>1</v>
      </c>
      <c r="Y9" s="58" t="b">
        <v>1</v>
      </c>
      <c r="Z9" s="58" t="b">
        <v>1</v>
      </c>
      <c r="AA9" s="58" t="b">
        <v>1</v>
      </c>
      <c r="AB9" s="58" t="b">
        <v>0</v>
      </c>
      <c r="AC9" s="58" t="b">
        <v>0</v>
      </c>
      <c r="AD9" s="58" t="b">
        <v>0</v>
      </c>
      <c r="AE9" s="58" t="b">
        <v>1</v>
      </c>
      <c r="AF9" s="58" t="b">
        <v>1</v>
      </c>
      <c r="AG9" s="58" t="b">
        <v>1</v>
      </c>
      <c r="AH9" s="58" t="b">
        <v>1</v>
      </c>
      <c r="AI9" s="58" t="b">
        <v>1</v>
      </c>
      <c r="AJ9" s="58" t="b">
        <v>1</v>
      </c>
      <c r="AK9" s="58" t="b">
        <v>1</v>
      </c>
      <c r="AL9" s="58" t="b">
        <v>1</v>
      </c>
      <c r="AM9" s="58" t="b">
        <v>1</v>
      </c>
      <c r="AN9" s="58" t="b">
        <v>1</v>
      </c>
      <c r="AO9" s="58" t="b">
        <v>1</v>
      </c>
      <c r="AP9" s="41"/>
      <c r="AQ9" s="54">
        <f t="shared" si="4"/>
        <v>9</v>
      </c>
    </row>
    <row r="10">
      <c r="A10" s="41" t="s">
        <v>234</v>
      </c>
      <c r="B10" s="41" t="s">
        <v>235</v>
      </c>
      <c r="C10" s="57" t="s">
        <v>236</v>
      </c>
      <c r="D10" s="41" t="s">
        <v>22</v>
      </c>
      <c r="E10" s="37">
        <f t="shared" si="1"/>
        <v>30</v>
      </c>
      <c r="F10" s="37">
        <f t="shared" si="2"/>
        <v>19</v>
      </c>
      <c r="G10" s="55">
        <f t="shared" si="3"/>
        <v>63.33333333</v>
      </c>
      <c r="H10" s="41"/>
      <c r="I10" s="58" t="b">
        <v>1</v>
      </c>
      <c r="J10" s="58" t="b">
        <v>1</v>
      </c>
      <c r="K10" s="58" t="b">
        <v>1</v>
      </c>
      <c r="L10" s="58" t="b">
        <v>1</v>
      </c>
      <c r="M10" s="58" t="b">
        <v>0</v>
      </c>
      <c r="N10" s="58" t="b">
        <v>0</v>
      </c>
      <c r="O10" s="58" t="b">
        <v>0</v>
      </c>
      <c r="P10" s="58" t="b">
        <v>0</v>
      </c>
      <c r="Q10" s="58" t="b">
        <v>0</v>
      </c>
      <c r="R10" s="58" t="b">
        <v>0</v>
      </c>
      <c r="S10" s="58" t="b">
        <v>0</v>
      </c>
      <c r="T10" s="58" t="b">
        <v>0</v>
      </c>
      <c r="U10" s="58" t="b">
        <v>0</v>
      </c>
      <c r="V10" s="58" t="b">
        <v>0</v>
      </c>
      <c r="W10" s="58" t="b">
        <v>0</v>
      </c>
      <c r="X10" s="58" t="b">
        <v>1</v>
      </c>
      <c r="Y10" s="58" t="b">
        <v>1</v>
      </c>
      <c r="Z10" s="58" t="b">
        <v>1</v>
      </c>
      <c r="AA10" s="58" t="b">
        <v>1</v>
      </c>
      <c r="AB10" s="58" t="b">
        <v>1</v>
      </c>
      <c r="AC10" s="58" t="b">
        <v>1</v>
      </c>
      <c r="AD10" s="58" t="b">
        <v>1</v>
      </c>
      <c r="AE10" s="58" t="b">
        <v>1</v>
      </c>
      <c r="AF10" s="58" t="b">
        <v>1</v>
      </c>
      <c r="AG10" s="58" t="b">
        <v>1</v>
      </c>
      <c r="AH10" s="58" t="b">
        <v>1</v>
      </c>
      <c r="AI10" s="58" t="b">
        <v>1</v>
      </c>
      <c r="AJ10" s="58" t="b">
        <v>1</v>
      </c>
      <c r="AK10" s="58" t="b">
        <v>1</v>
      </c>
      <c r="AL10" s="58" t="b">
        <v>1</v>
      </c>
      <c r="AM10" s="41"/>
      <c r="AN10" s="41"/>
      <c r="AO10" s="41"/>
      <c r="AP10" s="41"/>
      <c r="AQ10" s="54">
        <f t="shared" si="4"/>
        <v>6</v>
      </c>
    </row>
    <row r="11">
      <c r="A11" s="41" t="s">
        <v>237</v>
      </c>
      <c r="B11" s="41" t="s">
        <v>238</v>
      </c>
      <c r="C11" s="59">
        <v>9.174239281E9</v>
      </c>
      <c r="D11" s="41" t="s">
        <v>22</v>
      </c>
      <c r="E11" s="37">
        <f t="shared" si="1"/>
        <v>28</v>
      </c>
      <c r="F11" s="37">
        <f t="shared" si="2"/>
        <v>2</v>
      </c>
      <c r="G11" s="55">
        <f t="shared" si="3"/>
        <v>7.142857143</v>
      </c>
      <c r="H11" s="41"/>
      <c r="I11" s="58" t="b">
        <v>0</v>
      </c>
      <c r="J11" s="58" t="b">
        <v>0</v>
      </c>
      <c r="K11" s="58" t="b">
        <v>0</v>
      </c>
      <c r="L11" s="58" t="b">
        <v>0</v>
      </c>
      <c r="M11" s="58" t="b">
        <v>0</v>
      </c>
      <c r="N11" s="58" t="b">
        <v>0</v>
      </c>
      <c r="O11" s="58" t="b">
        <v>0</v>
      </c>
      <c r="P11" s="58" t="b">
        <v>0</v>
      </c>
      <c r="Q11" s="58" t="b">
        <v>0</v>
      </c>
      <c r="R11" s="58" t="b">
        <v>0</v>
      </c>
      <c r="S11" s="58" t="b">
        <v>0</v>
      </c>
      <c r="T11" s="58" t="b">
        <v>0</v>
      </c>
      <c r="U11" s="58" t="b">
        <v>0</v>
      </c>
      <c r="V11" s="58" t="b">
        <v>0</v>
      </c>
      <c r="W11" s="58" t="b">
        <v>0</v>
      </c>
      <c r="X11" s="58" t="b">
        <v>0</v>
      </c>
      <c r="Y11" s="58" t="b">
        <v>0</v>
      </c>
      <c r="Z11" s="58" t="b">
        <v>0</v>
      </c>
      <c r="AA11" s="58" t="b">
        <v>0</v>
      </c>
      <c r="AB11" s="58" t="b">
        <v>0</v>
      </c>
      <c r="AC11" s="58" t="b">
        <v>0</v>
      </c>
      <c r="AD11" s="58" t="b">
        <v>0</v>
      </c>
      <c r="AE11" s="58" t="b">
        <v>0</v>
      </c>
      <c r="AF11" s="58" t="b">
        <v>0</v>
      </c>
      <c r="AG11" s="58" t="b">
        <v>0</v>
      </c>
      <c r="AH11" s="58" t="b">
        <v>0</v>
      </c>
      <c r="AI11" s="58" t="b">
        <v>1</v>
      </c>
      <c r="AJ11" s="58" t="b">
        <v>1</v>
      </c>
      <c r="AK11" s="41"/>
      <c r="AL11" s="41"/>
      <c r="AM11" s="41"/>
      <c r="AN11" s="41"/>
      <c r="AO11" s="41"/>
      <c r="AP11" s="41"/>
      <c r="AQ11" s="54">
        <f t="shared" si="4"/>
        <v>2</v>
      </c>
    </row>
    <row r="12">
      <c r="A12" s="41" t="s">
        <v>239</v>
      </c>
      <c r="B12" s="41" t="s">
        <v>240</v>
      </c>
      <c r="C12" s="57" t="s">
        <v>241</v>
      </c>
      <c r="D12" s="41" t="s">
        <v>22</v>
      </c>
      <c r="E12" s="37">
        <f t="shared" si="1"/>
        <v>33</v>
      </c>
      <c r="F12" s="37">
        <f t="shared" si="2"/>
        <v>29</v>
      </c>
      <c r="G12" s="52">
        <f t="shared" si="3"/>
        <v>87.87878788</v>
      </c>
      <c r="H12" s="41"/>
      <c r="I12" s="58" t="b">
        <v>1</v>
      </c>
      <c r="J12" s="58" t="b">
        <v>1</v>
      </c>
      <c r="K12" s="58" t="b">
        <v>0</v>
      </c>
      <c r="L12" s="58" t="b">
        <v>0</v>
      </c>
      <c r="M12" s="58" t="b">
        <v>0</v>
      </c>
      <c r="N12" s="58" t="b">
        <v>1</v>
      </c>
      <c r="O12" s="58" t="b">
        <v>1</v>
      </c>
      <c r="P12" s="58" t="b">
        <v>1</v>
      </c>
      <c r="Q12" s="58" t="b">
        <v>1</v>
      </c>
      <c r="R12" s="58" t="b">
        <v>1</v>
      </c>
      <c r="S12" s="58" t="b">
        <v>0</v>
      </c>
      <c r="T12" s="58" t="b">
        <v>1</v>
      </c>
      <c r="U12" s="58" t="b">
        <v>1</v>
      </c>
      <c r="V12" s="58" t="b">
        <v>1</v>
      </c>
      <c r="W12" s="58" t="b">
        <v>1</v>
      </c>
      <c r="X12" s="58" t="b">
        <v>1</v>
      </c>
      <c r="Y12" s="58" t="b">
        <v>1</v>
      </c>
      <c r="Z12" s="58" t="b">
        <v>1</v>
      </c>
      <c r="AA12" s="58" t="b">
        <v>1</v>
      </c>
      <c r="AB12" s="58" t="b">
        <v>1</v>
      </c>
      <c r="AC12" s="58" t="b">
        <v>1</v>
      </c>
      <c r="AD12" s="58" t="b">
        <v>1</v>
      </c>
      <c r="AE12" s="58" t="b">
        <v>1</v>
      </c>
      <c r="AF12" s="58" t="b">
        <v>1</v>
      </c>
      <c r="AG12" s="58" t="b">
        <v>1</v>
      </c>
      <c r="AH12" s="58" t="b">
        <v>1</v>
      </c>
      <c r="AI12" s="58" t="b">
        <v>1</v>
      </c>
      <c r="AJ12" s="58" t="b">
        <v>1</v>
      </c>
      <c r="AK12" s="58" t="b">
        <v>1</v>
      </c>
      <c r="AL12" s="58" t="b">
        <v>1</v>
      </c>
      <c r="AM12" s="58" t="b">
        <v>1</v>
      </c>
      <c r="AN12" s="58" t="b">
        <v>1</v>
      </c>
      <c r="AO12" s="58" t="b">
        <v>1</v>
      </c>
      <c r="AP12" s="41"/>
      <c r="AQ12" s="54">
        <f t="shared" si="4"/>
        <v>9</v>
      </c>
    </row>
    <row r="13">
      <c r="A13" s="41" t="s">
        <v>242</v>
      </c>
      <c r="B13" s="41" t="s">
        <v>243</v>
      </c>
      <c r="C13" s="57" t="s">
        <v>244</v>
      </c>
      <c r="D13" s="41" t="s">
        <v>22</v>
      </c>
      <c r="E13" s="37">
        <f t="shared" si="1"/>
        <v>33</v>
      </c>
      <c r="F13" s="37">
        <f t="shared" si="2"/>
        <v>26</v>
      </c>
      <c r="G13" s="52">
        <f t="shared" si="3"/>
        <v>78.78787879</v>
      </c>
      <c r="H13" s="41"/>
      <c r="I13" s="58" t="b">
        <v>1</v>
      </c>
      <c r="J13" s="58" t="b">
        <v>0</v>
      </c>
      <c r="K13" s="58" t="b">
        <v>1</v>
      </c>
      <c r="L13" s="58" t="b">
        <v>0</v>
      </c>
      <c r="M13" s="58" t="b">
        <v>1</v>
      </c>
      <c r="N13" s="58" t="b">
        <v>1</v>
      </c>
      <c r="O13" s="58" t="b">
        <v>0</v>
      </c>
      <c r="P13" s="58" t="b">
        <v>1</v>
      </c>
      <c r="Q13" s="58" t="b">
        <v>0</v>
      </c>
      <c r="R13" s="58" t="b">
        <v>0</v>
      </c>
      <c r="S13" s="58" t="b">
        <v>1</v>
      </c>
      <c r="T13" s="58" t="b">
        <v>1</v>
      </c>
      <c r="U13" s="58" t="b">
        <v>1</v>
      </c>
      <c r="V13" s="58" t="b">
        <v>1</v>
      </c>
      <c r="W13" s="58" t="b">
        <v>1</v>
      </c>
      <c r="X13" s="58" t="b">
        <v>1</v>
      </c>
      <c r="Y13" s="58" t="b">
        <v>1</v>
      </c>
      <c r="Z13" s="58" t="b">
        <v>0</v>
      </c>
      <c r="AA13" s="58" t="b">
        <v>1</v>
      </c>
      <c r="AB13" s="58" t="b">
        <v>0</v>
      </c>
      <c r="AC13" s="58" t="b">
        <v>1</v>
      </c>
      <c r="AD13" s="58" t="b">
        <v>1</v>
      </c>
      <c r="AE13" s="58" t="b">
        <v>1</v>
      </c>
      <c r="AF13" s="58" t="b">
        <v>1</v>
      </c>
      <c r="AG13" s="58" t="b">
        <v>1</v>
      </c>
      <c r="AH13" s="58" t="b">
        <v>1</v>
      </c>
      <c r="AI13" s="58" t="b">
        <v>1</v>
      </c>
      <c r="AJ13" s="58" t="b">
        <v>1</v>
      </c>
      <c r="AK13" s="58" t="b">
        <v>1</v>
      </c>
      <c r="AL13" s="58" t="b">
        <v>1</v>
      </c>
      <c r="AM13" s="58" t="b">
        <v>1</v>
      </c>
      <c r="AN13" s="58" t="b">
        <v>1</v>
      </c>
      <c r="AO13" s="58" t="b">
        <v>1</v>
      </c>
      <c r="AP13" s="41"/>
      <c r="AQ13" s="54">
        <f t="shared" si="4"/>
        <v>9</v>
      </c>
    </row>
    <row r="14">
      <c r="A14" s="41" t="s">
        <v>245</v>
      </c>
      <c r="B14" s="41" t="s">
        <v>246</v>
      </c>
      <c r="C14" s="57" t="s">
        <v>247</v>
      </c>
      <c r="D14" s="41" t="s">
        <v>22</v>
      </c>
      <c r="E14" s="37">
        <f t="shared" si="1"/>
        <v>33</v>
      </c>
      <c r="F14" s="37">
        <f t="shared" si="2"/>
        <v>29</v>
      </c>
      <c r="G14" s="52">
        <f t="shared" si="3"/>
        <v>87.87878788</v>
      </c>
      <c r="H14" s="41"/>
      <c r="I14" s="58" t="b">
        <v>0</v>
      </c>
      <c r="J14" s="58" t="b">
        <v>1</v>
      </c>
      <c r="K14" s="58" t="b">
        <v>0</v>
      </c>
      <c r="L14" s="58" t="b">
        <v>1</v>
      </c>
      <c r="M14" s="58" t="b">
        <v>1</v>
      </c>
      <c r="N14" s="58" t="b">
        <v>1</v>
      </c>
      <c r="O14" s="58" t="b">
        <v>0</v>
      </c>
      <c r="P14" s="58" t="b">
        <v>1</v>
      </c>
      <c r="Q14" s="58" t="b">
        <v>1</v>
      </c>
      <c r="R14" s="58" t="b">
        <v>1</v>
      </c>
      <c r="S14" s="58" t="b">
        <v>1</v>
      </c>
      <c r="T14" s="58" t="b">
        <v>1</v>
      </c>
      <c r="U14" s="58" t="b">
        <v>1</v>
      </c>
      <c r="V14" s="58" t="b">
        <v>1</v>
      </c>
      <c r="W14" s="58" t="b">
        <v>1</v>
      </c>
      <c r="X14" s="58" t="b">
        <v>1</v>
      </c>
      <c r="Y14" s="58" t="b">
        <v>1</v>
      </c>
      <c r="Z14" s="58" t="b">
        <v>1</v>
      </c>
      <c r="AA14" s="58" t="b">
        <v>1</v>
      </c>
      <c r="AB14" s="58" t="b">
        <v>0</v>
      </c>
      <c r="AC14" s="58" t="b">
        <v>1</v>
      </c>
      <c r="AD14" s="58" t="b">
        <v>1</v>
      </c>
      <c r="AE14" s="58" t="b">
        <v>1</v>
      </c>
      <c r="AF14" s="58" t="b">
        <v>1</v>
      </c>
      <c r="AG14" s="58" t="b">
        <v>1</v>
      </c>
      <c r="AH14" s="58" t="b">
        <v>1</v>
      </c>
      <c r="AI14" s="58" t="b">
        <v>1</v>
      </c>
      <c r="AJ14" s="58" t="b">
        <v>1</v>
      </c>
      <c r="AK14" s="58" t="b">
        <v>1</v>
      </c>
      <c r="AL14" s="58" t="b">
        <v>1</v>
      </c>
      <c r="AM14" s="58" t="b">
        <v>1</v>
      </c>
      <c r="AN14" s="58" t="b">
        <v>1</v>
      </c>
      <c r="AO14" s="58" t="b">
        <v>1</v>
      </c>
      <c r="AP14" s="41"/>
      <c r="AQ14" s="54">
        <f t="shared" si="4"/>
        <v>9</v>
      </c>
    </row>
    <row r="15">
      <c r="A15" s="41" t="s">
        <v>248</v>
      </c>
      <c r="B15" s="41" t="s">
        <v>249</v>
      </c>
      <c r="C15" s="57" t="s">
        <v>250</v>
      </c>
      <c r="D15" s="41" t="s">
        <v>22</v>
      </c>
      <c r="E15" s="37">
        <f t="shared" si="1"/>
        <v>33</v>
      </c>
      <c r="F15" s="37">
        <f t="shared" si="2"/>
        <v>30</v>
      </c>
      <c r="G15" s="52">
        <f t="shared" si="3"/>
        <v>90.90909091</v>
      </c>
      <c r="H15" s="41"/>
      <c r="I15" s="58" t="b">
        <v>1</v>
      </c>
      <c r="J15" s="58" t="b">
        <v>1</v>
      </c>
      <c r="K15" s="58" t="b">
        <v>1</v>
      </c>
      <c r="L15" s="58" t="b">
        <v>1</v>
      </c>
      <c r="M15" s="58" t="b">
        <v>1</v>
      </c>
      <c r="N15" s="58" t="b">
        <v>0</v>
      </c>
      <c r="O15" s="58" t="b">
        <v>1</v>
      </c>
      <c r="P15" s="58" t="b">
        <v>1</v>
      </c>
      <c r="Q15" s="58" t="b">
        <v>0</v>
      </c>
      <c r="R15" s="58" t="b">
        <v>0</v>
      </c>
      <c r="S15" s="58" t="b">
        <v>1</v>
      </c>
      <c r="T15" s="58" t="b">
        <v>1</v>
      </c>
      <c r="U15" s="58" t="b">
        <v>1</v>
      </c>
      <c r="V15" s="58" t="b">
        <v>1</v>
      </c>
      <c r="W15" s="58" t="b">
        <v>1</v>
      </c>
      <c r="X15" s="58" t="b">
        <v>1</v>
      </c>
      <c r="Y15" s="58" t="b">
        <v>1</v>
      </c>
      <c r="Z15" s="58" t="b">
        <v>1</v>
      </c>
      <c r="AA15" s="58" t="b">
        <v>1</v>
      </c>
      <c r="AB15" s="58" t="b">
        <v>1</v>
      </c>
      <c r="AC15" s="58" t="b">
        <v>1</v>
      </c>
      <c r="AD15" s="58" t="b">
        <v>1</v>
      </c>
      <c r="AE15" s="58" t="b">
        <v>1</v>
      </c>
      <c r="AF15" s="58" t="b">
        <v>1</v>
      </c>
      <c r="AG15" s="58" t="b">
        <v>1</v>
      </c>
      <c r="AH15" s="58" t="b">
        <v>1</v>
      </c>
      <c r="AI15" s="58" t="b">
        <v>1</v>
      </c>
      <c r="AJ15" s="58" t="b">
        <v>1</v>
      </c>
      <c r="AK15" s="58" t="b">
        <v>1</v>
      </c>
      <c r="AL15" s="58" t="b">
        <v>1</v>
      </c>
      <c r="AM15" s="58" t="b">
        <v>1</v>
      </c>
      <c r="AN15" s="58" t="b">
        <v>1</v>
      </c>
      <c r="AO15" s="58" t="b">
        <v>1</v>
      </c>
      <c r="AP15" s="41"/>
      <c r="AQ15" s="54">
        <f t="shared" si="4"/>
        <v>9</v>
      </c>
    </row>
    <row r="16">
      <c r="A16" s="41" t="s">
        <v>251</v>
      </c>
      <c r="B16" s="41" t="s">
        <v>252</v>
      </c>
      <c r="C16" s="57" t="s">
        <v>253</v>
      </c>
      <c r="D16" s="41" t="s">
        <v>22</v>
      </c>
      <c r="E16" s="37">
        <f t="shared" si="1"/>
        <v>33</v>
      </c>
      <c r="F16" s="37">
        <f t="shared" si="2"/>
        <v>23</v>
      </c>
      <c r="G16" s="55">
        <f t="shared" si="3"/>
        <v>69.6969697</v>
      </c>
      <c r="H16" s="41"/>
      <c r="I16" s="58" t="b">
        <v>0</v>
      </c>
      <c r="J16" s="58" t="b">
        <v>0</v>
      </c>
      <c r="K16" s="58" t="b">
        <v>0</v>
      </c>
      <c r="L16" s="58" t="b">
        <v>0</v>
      </c>
      <c r="M16" s="58" t="b">
        <v>0</v>
      </c>
      <c r="N16" s="58" t="b">
        <v>0</v>
      </c>
      <c r="O16" s="58" t="b">
        <v>1</v>
      </c>
      <c r="P16" s="58" t="b">
        <v>1</v>
      </c>
      <c r="Q16" s="58" t="b">
        <v>1</v>
      </c>
      <c r="R16" s="58" t="b">
        <v>1</v>
      </c>
      <c r="S16" s="58" t="b">
        <v>1</v>
      </c>
      <c r="T16" s="58" t="b">
        <v>1</v>
      </c>
      <c r="U16" s="58" t="b">
        <v>0</v>
      </c>
      <c r="V16" s="58" t="b">
        <v>1</v>
      </c>
      <c r="W16" s="58" t="b">
        <v>1</v>
      </c>
      <c r="X16" s="58" t="b">
        <v>1</v>
      </c>
      <c r="Y16" s="58" t="b">
        <v>1</v>
      </c>
      <c r="Z16" s="58" t="b">
        <v>1</v>
      </c>
      <c r="AA16" s="58" t="b">
        <v>1</v>
      </c>
      <c r="AB16" s="58" t="b">
        <v>0</v>
      </c>
      <c r="AC16" s="58" t="b">
        <v>1</v>
      </c>
      <c r="AD16" s="58" t="b">
        <v>0</v>
      </c>
      <c r="AE16" s="58" t="b">
        <v>1</v>
      </c>
      <c r="AF16" s="58" t="b">
        <v>1</v>
      </c>
      <c r="AG16" s="58" t="b">
        <v>1</v>
      </c>
      <c r="AH16" s="58" t="b">
        <v>1</v>
      </c>
      <c r="AI16" s="58" t="b">
        <v>1</v>
      </c>
      <c r="AJ16" s="58" t="b">
        <v>1</v>
      </c>
      <c r="AK16" s="58" t="b">
        <v>0</v>
      </c>
      <c r="AL16" s="58" t="b">
        <v>1</v>
      </c>
      <c r="AM16" s="58" t="b">
        <v>1</v>
      </c>
      <c r="AN16" s="58" t="b">
        <v>1</v>
      </c>
      <c r="AO16" s="58" t="b">
        <v>1</v>
      </c>
      <c r="AP16" s="41"/>
      <c r="AQ16" s="54">
        <f t="shared" si="4"/>
        <v>8</v>
      </c>
    </row>
    <row r="17">
      <c r="A17" s="41" t="s">
        <v>254</v>
      </c>
      <c r="B17" s="41" t="s">
        <v>255</v>
      </c>
      <c r="C17" s="57" t="s">
        <v>256</v>
      </c>
      <c r="D17" s="41" t="s">
        <v>22</v>
      </c>
      <c r="E17" s="37">
        <f t="shared" si="1"/>
        <v>33</v>
      </c>
      <c r="F17" s="37">
        <f t="shared" si="2"/>
        <v>31</v>
      </c>
      <c r="G17" s="52">
        <f t="shared" si="3"/>
        <v>93.93939394</v>
      </c>
      <c r="H17" s="41"/>
      <c r="I17" s="58" t="b">
        <v>0</v>
      </c>
      <c r="J17" s="58" t="b">
        <v>0</v>
      </c>
      <c r="K17" s="58" t="b">
        <v>1</v>
      </c>
      <c r="L17" s="58" t="b">
        <v>1</v>
      </c>
      <c r="M17" s="58" t="b">
        <v>1</v>
      </c>
      <c r="N17" s="58" t="b">
        <v>1</v>
      </c>
      <c r="O17" s="58" t="b">
        <v>1</v>
      </c>
      <c r="P17" s="58" t="b">
        <v>1</v>
      </c>
      <c r="Q17" s="58" t="b">
        <v>1</v>
      </c>
      <c r="R17" s="58" t="b">
        <v>1</v>
      </c>
      <c r="S17" s="58" t="b">
        <v>1</v>
      </c>
      <c r="T17" s="58" t="b">
        <v>1</v>
      </c>
      <c r="U17" s="58" t="b">
        <v>1</v>
      </c>
      <c r="V17" s="58" t="b">
        <v>1</v>
      </c>
      <c r="W17" s="58" t="b">
        <v>1</v>
      </c>
      <c r="X17" s="58" t="b">
        <v>1</v>
      </c>
      <c r="Y17" s="58" t="b">
        <v>1</v>
      </c>
      <c r="Z17" s="58" t="b">
        <v>1</v>
      </c>
      <c r="AA17" s="58" t="b">
        <v>1</v>
      </c>
      <c r="AB17" s="58" t="b">
        <v>1</v>
      </c>
      <c r="AC17" s="58" t="b">
        <v>1</v>
      </c>
      <c r="AD17" s="58" t="b">
        <v>1</v>
      </c>
      <c r="AE17" s="58" t="b">
        <v>1</v>
      </c>
      <c r="AF17" s="58" t="b">
        <v>1</v>
      </c>
      <c r="AG17" s="58" t="b">
        <v>1</v>
      </c>
      <c r="AH17" s="58" t="b">
        <v>1</v>
      </c>
      <c r="AI17" s="58" t="b">
        <v>1</v>
      </c>
      <c r="AJ17" s="58" t="b">
        <v>1</v>
      </c>
      <c r="AK17" s="58" t="b">
        <v>1</v>
      </c>
      <c r="AL17" s="58" t="b">
        <v>1</v>
      </c>
      <c r="AM17" s="58" t="b">
        <v>1</v>
      </c>
      <c r="AN17" s="58" t="b">
        <v>1</v>
      </c>
      <c r="AO17" s="58" t="b">
        <v>1</v>
      </c>
      <c r="AP17" s="41"/>
      <c r="AQ17" s="54">
        <f t="shared" si="4"/>
        <v>9</v>
      </c>
    </row>
    <row r="18">
      <c r="A18" s="41" t="s">
        <v>257</v>
      </c>
      <c r="B18" s="41" t="s">
        <v>258</v>
      </c>
      <c r="C18" s="57" t="s">
        <v>259</v>
      </c>
      <c r="D18" s="41" t="s">
        <v>22</v>
      </c>
      <c r="E18" s="37">
        <f t="shared" si="1"/>
        <v>33</v>
      </c>
      <c r="F18" s="37">
        <f t="shared" si="2"/>
        <v>21</v>
      </c>
      <c r="G18" s="55">
        <f t="shared" si="3"/>
        <v>63.63636364</v>
      </c>
      <c r="H18" s="41"/>
      <c r="I18" s="58" t="b">
        <v>0</v>
      </c>
      <c r="J18" s="58" t="b">
        <v>0</v>
      </c>
      <c r="K18" s="58" t="b">
        <v>1</v>
      </c>
      <c r="L18" s="58" t="b">
        <v>0</v>
      </c>
      <c r="M18" s="58" t="b">
        <v>1</v>
      </c>
      <c r="N18" s="58" t="b">
        <v>1</v>
      </c>
      <c r="O18" s="58" t="b">
        <v>0</v>
      </c>
      <c r="P18" s="58" t="b">
        <v>0</v>
      </c>
      <c r="Q18" s="58" t="b">
        <v>0</v>
      </c>
      <c r="R18" s="58" t="b">
        <v>1</v>
      </c>
      <c r="S18" s="58" t="b">
        <v>0</v>
      </c>
      <c r="T18" s="58" t="b">
        <v>1</v>
      </c>
      <c r="U18" s="58" t="b">
        <v>1</v>
      </c>
      <c r="V18" s="58" t="b">
        <v>1</v>
      </c>
      <c r="W18" s="58" t="b">
        <v>0</v>
      </c>
      <c r="X18" s="58" t="b">
        <v>0</v>
      </c>
      <c r="Y18" s="58" t="b">
        <v>1</v>
      </c>
      <c r="Z18" s="58" t="b">
        <v>1</v>
      </c>
      <c r="AA18" s="58" t="b">
        <v>0</v>
      </c>
      <c r="AB18" s="58" t="b">
        <v>1</v>
      </c>
      <c r="AC18" s="58" t="b">
        <v>1</v>
      </c>
      <c r="AD18" s="58" t="b">
        <v>0</v>
      </c>
      <c r="AE18" s="58" t="b">
        <v>1</v>
      </c>
      <c r="AF18" s="58" t="b">
        <v>0</v>
      </c>
      <c r="AG18" s="58" t="b">
        <v>1</v>
      </c>
      <c r="AH18" s="58" t="b">
        <v>1</v>
      </c>
      <c r="AI18" s="58" t="b">
        <v>1</v>
      </c>
      <c r="AJ18" s="58" t="b">
        <v>1</v>
      </c>
      <c r="AK18" s="58" t="b">
        <v>1</v>
      </c>
      <c r="AL18" s="58" t="b">
        <v>1</v>
      </c>
      <c r="AM18" s="58" t="b">
        <v>1</v>
      </c>
      <c r="AN18" s="58" t="b">
        <v>1</v>
      </c>
      <c r="AO18" s="58" t="b">
        <v>1</v>
      </c>
      <c r="AP18" s="41"/>
      <c r="AQ18" s="54">
        <f t="shared" si="4"/>
        <v>9</v>
      </c>
    </row>
    <row r="19">
      <c r="A19" s="41" t="s">
        <v>260</v>
      </c>
      <c r="B19" s="41" t="s">
        <v>261</v>
      </c>
      <c r="C19" s="57" t="s">
        <v>262</v>
      </c>
      <c r="D19" s="41" t="s">
        <v>22</v>
      </c>
      <c r="E19" s="37">
        <f t="shared" si="1"/>
        <v>33</v>
      </c>
      <c r="F19" s="37">
        <f t="shared" si="2"/>
        <v>29</v>
      </c>
      <c r="G19" s="52">
        <f t="shared" si="3"/>
        <v>87.87878788</v>
      </c>
      <c r="H19" s="41"/>
      <c r="I19" s="58" t="b">
        <v>1</v>
      </c>
      <c r="J19" s="58" t="b">
        <v>1</v>
      </c>
      <c r="K19" s="58" t="b">
        <v>1</v>
      </c>
      <c r="L19" s="58" t="b">
        <v>1</v>
      </c>
      <c r="M19" s="58" t="b">
        <v>1</v>
      </c>
      <c r="N19" s="58" t="b">
        <v>1</v>
      </c>
      <c r="O19" s="58" t="b">
        <v>1</v>
      </c>
      <c r="P19" s="58" t="b">
        <v>1</v>
      </c>
      <c r="Q19" s="58" t="b">
        <v>1</v>
      </c>
      <c r="R19" s="58" t="b">
        <v>1</v>
      </c>
      <c r="S19" s="58" t="b">
        <v>1</v>
      </c>
      <c r="T19" s="58" t="b">
        <v>1</v>
      </c>
      <c r="U19" s="58" t="b">
        <v>1</v>
      </c>
      <c r="V19" s="58" t="b">
        <v>1</v>
      </c>
      <c r="W19" s="58" t="b">
        <v>0</v>
      </c>
      <c r="X19" s="58" t="b">
        <v>1</v>
      </c>
      <c r="Y19" s="58" t="b">
        <v>1</v>
      </c>
      <c r="Z19" s="58" t="b">
        <v>1</v>
      </c>
      <c r="AA19" s="58" t="b">
        <v>0</v>
      </c>
      <c r="AB19" s="58" t="b">
        <v>1</v>
      </c>
      <c r="AC19" s="58" t="b">
        <v>0</v>
      </c>
      <c r="AD19" s="58" t="b">
        <v>1</v>
      </c>
      <c r="AE19" s="58" t="b">
        <v>1</v>
      </c>
      <c r="AF19" s="58" t="b">
        <v>1</v>
      </c>
      <c r="AG19" s="58" t="b">
        <v>1</v>
      </c>
      <c r="AH19" s="58" t="b">
        <v>1</v>
      </c>
      <c r="AI19" s="58" t="b">
        <v>0</v>
      </c>
      <c r="AJ19" s="58" t="b">
        <v>1</v>
      </c>
      <c r="AK19" s="58" t="b">
        <v>1</v>
      </c>
      <c r="AL19" s="58" t="b">
        <v>1</v>
      </c>
      <c r="AM19" s="58" t="b">
        <v>1</v>
      </c>
      <c r="AN19" s="58" t="b">
        <v>1</v>
      </c>
      <c r="AO19" s="58" t="b">
        <v>1</v>
      </c>
      <c r="AP19" s="41"/>
      <c r="AQ19" s="54">
        <f t="shared" si="4"/>
        <v>8</v>
      </c>
    </row>
    <row r="20">
      <c r="A20" s="41" t="s">
        <v>263</v>
      </c>
      <c r="B20" s="41" t="s">
        <v>264</v>
      </c>
      <c r="C20" s="57" t="s">
        <v>265</v>
      </c>
      <c r="D20" s="41" t="s">
        <v>22</v>
      </c>
      <c r="E20" s="37">
        <f t="shared" si="1"/>
        <v>33</v>
      </c>
      <c r="F20" s="37">
        <f t="shared" si="2"/>
        <v>1</v>
      </c>
      <c r="G20" s="55">
        <f t="shared" si="3"/>
        <v>3.03030303</v>
      </c>
      <c r="H20" s="41"/>
      <c r="I20" s="58" t="b">
        <v>0</v>
      </c>
      <c r="J20" s="58" t="b">
        <v>0</v>
      </c>
      <c r="K20" s="58" t="b">
        <v>0</v>
      </c>
      <c r="L20" s="58" t="b">
        <v>0</v>
      </c>
      <c r="M20" s="58" t="b">
        <v>0</v>
      </c>
      <c r="N20" s="58" t="b">
        <v>0</v>
      </c>
      <c r="O20" s="58" t="b">
        <v>0</v>
      </c>
      <c r="P20" s="58" t="b">
        <v>0</v>
      </c>
      <c r="Q20" s="58" t="b">
        <v>0</v>
      </c>
      <c r="R20" s="58" t="b">
        <v>0</v>
      </c>
      <c r="S20" s="58" t="b">
        <v>0</v>
      </c>
      <c r="T20" s="58" t="b">
        <v>0</v>
      </c>
      <c r="U20" s="58" t="b">
        <v>0</v>
      </c>
      <c r="V20" s="58" t="b">
        <v>0</v>
      </c>
      <c r="W20" s="58" t="b">
        <v>0</v>
      </c>
      <c r="X20" s="58" t="b">
        <v>0</v>
      </c>
      <c r="Y20" s="58" t="b">
        <v>0</v>
      </c>
      <c r="Z20" s="58" t="b">
        <v>0</v>
      </c>
      <c r="AA20" s="58" t="b">
        <v>0</v>
      </c>
      <c r="AB20" s="58" t="b">
        <v>0</v>
      </c>
      <c r="AC20" s="58" t="b">
        <v>0</v>
      </c>
      <c r="AD20" s="58" t="b">
        <v>0</v>
      </c>
      <c r="AE20" s="58" t="b">
        <v>0</v>
      </c>
      <c r="AF20" s="58" t="b">
        <v>0</v>
      </c>
      <c r="AG20" s="58" t="b">
        <v>0</v>
      </c>
      <c r="AH20" s="58" t="b">
        <v>0</v>
      </c>
      <c r="AI20" s="58" t="b">
        <v>0</v>
      </c>
      <c r="AJ20" s="58" t="b">
        <v>1</v>
      </c>
      <c r="AK20" s="58" t="b">
        <v>0</v>
      </c>
      <c r="AL20" s="58" t="b">
        <v>0</v>
      </c>
      <c r="AM20" s="58" t="b">
        <v>0</v>
      </c>
      <c r="AN20" s="58" t="b">
        <v>0</v>
      </c>
      <c r="AO20" s="58" t="b">
        <v>0</v>
      </c>
      <c r="AP20" s="41"/>
      <c r="AQ20" s="54">
        <f t="shared" si="4"/>
        <v>1</v>
      </c>
    </row>
    <row r="21">
      <c r="A21" s="41" t="s">
        <v>266</v>
      </c>
      <c r="B21" s="41" t="s">
        <v>267</v>
      </c>
      <c r="C21" s="57" t="s">
        <v>268</v>
      </c>
      <c r="D21" s="41" t="s">
        <v>22</v>
      </c>
      <c r="E21" s="37">
        <f t="shared" si="1"/>
        <v>33</v>
      </c>
      <c r="F21" s="37">
        <f t="shared" si="2"/>
        <v>30</v>
      </c>
      <c r="G21" s="52">
        <f t="shared" si="3"/>
        <v>90.90909091</v>
      </c>
      <c r="H21" s="41"/>
      <c r="I21" s="58" t="b">
        <v>1</v>
      </c>
      <c r="J21" s="58" t="b">
        <v>1</v>
      </c>
      <c r="K21" s="58" t="b">
        <v>1</v>
      </c>
      <c r="L21" s="58" t="b">
        <v>1</v>
      </c>
      <c r="M21" s="58" t="b">
        <v>1</v>
      </c>
      <c r="N21" s="58" t="b">
        <v>1</v>
      </c>
      <c r="O21" s="58" t="b">
        <v>1</v>
      </c>
      <c r="P21" s="58" t="b">
        <v>1</v>
      </c>
      <c r="Q21" s="58" t="b">
        <v>1</v>
      </c>
      <c r="R21" s="58" t="b">
        <v>1</v>
      </c>
      <c r="S21" s="58" t="b">
        <v>1</v>
      </c>
      <c r="T21" s="58" t="b">
        <v>1</v>
      </c>
      <c r="U21" s="58" t="b">
        <v>1</v>
      </c>
      <c r="V21" s="58" t="b">
        <v>1</v>
      </c>
      <c r="W21" s="58" t="b">
        <v>1</v>
      </c>
      <c r="X21" s="58" t="b">
        <v>1</v>
      </c>
      <c r="Y21" s="58" t="b">
        <v>1</v>
      </c>
      <c r="Z21" s="58" t="b">
        <v>1</v>
      </c>
      <c r="AA21" s="58" t="b">
        <v>1</v>
      </c>
      <c r="AB21" s="58" t="b">
        <v>1</v>
      </c>
      <c r="AC21" s="58" t="b">
        <v>1</v>
      </c>
      <c r="AD21" s="58" t="b">
        <v>1</v>
      </c>
      <c r="AE21" s="58" t="b">
        <v>0</v>
      </c>
      <c r="AF21" s="58" t="b">
        <v>1</v>
      </c>
      <c r="AG21" s="58" t="b">
        <v>0</v>
      </c>
      <c r="AH21" s="58" t="b">
        <v>0</v>
      </c>
      <c r="AI21" s="58" t="b">
        <v>1</v>
      </c>
      <c r="AJ21" s="58" t="b">
        <v>1</v>
      </c>
      <c r="AK21" s="58" t="b">
        <v>1</v>
      </c>
      <c r="AL21" s="58" t="b">
        <v>1</v>
      </c>
      <c r="AM21" s="58" t="b">
        <v>1</v>
      </c>
      <c r="AN21" s="58" t="b">
        <v>1</v>
      </c>
      <c r="AO21" s="58" t="b">
        <v>1</v>
      </c>
      <c r="AP21" s="41"/>
      <c r="AQ21" s="54">
        <f t="shared" si="4"/>
        <v>7</v>
      </c>
    </row>
    <row r="22">
      <c r="A22" s="41" t="s">
        <v>269</v>
      </c>
      <c r="B22" s="41" t="s">
        <v>270</v>
      </c>
      <c r="C22" s="57" t="s">
        <v>271</v>
      </c>
      <c r="D22" s="41" t="s">
        <v>22</v>
      </c>
      <c r="E22" s="37">
        <f t="shared" si="1"/>
        <v>33</v>
      </c>
      <c r="F22" s="37">
        <f t="shared" si="2"/>
        <v>26</v>
      </c>
      <c r="G22" s="52">
        <f t="shared" si="3"/>
        <v>78.78787879</v>
      </c>
      <c r="H22" s="41"/>
      <c r="I22" s="58" t="b">
        <v>1</v>
      </c>
      <c r="J22" s="58" t="b">
        <v>1</v>
      </c>
      <c r="K22" s="58" t="b">
        <v>1</v>
      </c>
      <c r="L22" s="58" t="b">
        <v>0</v>
      </c>
      <c r="M22" s="58" t="b">
        <v>1</v>
      </c>
      <c r="N22" s="58" t="b">
        <v>1</v>
      </c>
      <c r="O22" s="58" t="b">
        <v>1</v>
      </c>
      <c r="P22" s="58" t="b">
        <v>1</v>
      </c>
      <c r="Q22" s="58" t="b">
        <v>1</v>
      </c>
      <c r="R22" s="58" t="b">
        <v>1</v>
      </c>
      <c r="S22" s="58" t="b">
        <v>0</v>
      </c>
      <c r="T22" s="58" t="b">
        <v>0</v>
      </c>
      <c r="U22" s="58" t="b">
        <v>1</v>
      </c>
      <c r="V22" s="58" t="b">
        <v>1</v>
      </c>
      <c r="W22" s="58" t="b">
        <v>1</v>
      </c>
      <c r="X22" s="58" t="b">
        <v>1</v>
      </c>
      <c r="Y22" s="58" t="b">
        <v>1</v>
      </c>
      <c r="Z22" s="58" t="b">
        <v>0</v>
      </c>
      <c r="AA22" s="58" t="b">
        <v>0</v>
      </c>
      <c r="AB22" s="58" t="b">
        <v>1</v>
      </c>
      <c r="AC22" s="58" t="b">
        <v>0</v>
      </c>
      <c r="AD22" s="58" t="b">
        <v>1</v>
      </c>
      <c r="AE22" s="58" t="b">
        <v>1</v>
      </c>
      <c r="AF22" s="58" t="b">
        <v>1</v>
      </c>
      <c r="AG22" s="58" t="b">
        <v>1</v>
      </c>
      <c r="AH22" s="58" t="b">
        <v>1</v>
      </c>
      <c r="AI22" s="58" t="b">
        <v>0</v>
      </c>
      <c r="AJ22" s="58" t="b">
        <v>1</v>
      </c>
      <c r="AK22" s="58" t="b">
        <v>1</v>
      </c>
      <c r="AL22" s="58" t="b">
        <v>1</v>
      </c>
      <c r="AM22" s="58" t="b">
        <v>1</v>
      </c>
      <c r="AN22" s="58" t="b">
        <v>1</v>
      </c>
      <c r="AO22" s="58" t="b">
        <v>1</v>
      </c>
      <c r="AP22" s="41"/>
      <c r="AQ22" s="54">
        <f t="shared" si="4"/>
        <v>8</v>
      </c>
    </row>
    <row r="23">
      <c r="A23" s="41" t="s">
        <v>272</v>
      </c>
      <c r="B23" s="41" t="s">
        <v>273</v>
      </c>
      <c r="C23" s="57" t="s">
        <v>274</v>
      </c>
      <c r="D23" s="41" t="s">
        <v>22</v>
      </c>
      <c r="E23" s="37">
        <f t="shared" si="1"/>
        <v>33</v>
      </c>
      <c r="F23" s="37">
        <f t="shared" si="2"/>
        <v>30</v>
      </c>
      <c r="G23" s="52">
        <f t="shared" si="3"/>
        <v>90.90909091</v>
      </c>
      <c r="H23" s="41"/>
      <c r="I23" s="58" t="b">
        <v>0</v>
      </c>
      <c r="J23" s="58" t="b">
        <v>1</v>
      </c>
      <c r="K23" s="58" t="b">
        <v>0</v>
      </c>
      <c r="L23" s="58" t="b">
        <v>1</v>
      </c>
      <c r="M23" s="58" t="b">
        <v>1</v>
      </c>
      <c r="N23" s="58" t="b">
        <v>1</v>
      </c>
      <c r="O23" s="58" t="b">
        <v>1</v>
      </c>
      <c r="P23" s="58" t="b">
        <v>1</v>
      </c>
      <c r="Q23" s="58" t="b">
        <v>1</v>
      </c>
      <c r="R23" s="58" t="b">
        <v>1</v>
      </c>
      <c r="S23" s="58" t="b">
        <v>1</v>
      </c>
      <c r="T23" s="58" t="b">
        <v>1</v>
      </c>
      <c r="U23" s="58" t="b">
        <v>1</v>
      </c>
      <c r="V23" s="58" t="b">
        <v>1</v>
      </c>
      <c r="W23" s="58" t="b">
        <v>1</v>
      </c>
      <c r="X23" s="58" t="b">
        <v>1</v>
      </c>
      <c r="Y23" s="58" t="b">
        <v>1</v>
      </c>
      <c r="Z23" s="58" t="b">
        <v>1</v>
      </c>
      <c r="AA23" s="58" t="b">
        <v>1</v>
      </c>
      <c r="AB23" s="58" t="b">
        <v>1</v>
      </c>
      <c r="AC23" s="58" t="b">
        <v>1</v>
      </c>
      <c r="AD23" s="58" t="b">
        <v>1</v>
      </c>
      <c r="AE23" s="58" t="b">
        <v>1</v>
      </c>
      <c r="AF23" s="58" t="b">
        <v>1</v>
      </c>
      <c r="AG23" s="58" t="b">
        <v>1</v>
      </c>
      <c r="AH23" s="58" t="b">
        <v>0</v>
      </c>
      <c r="AI23" s="58" t="b">
        <v>1</v>
      </c>
      <c r="AJ23" s="58" t="b">
        <v>1</v>
      </c>
      <c r="AK23" s="58" t="b">
        <v>1</v>
      </c>
      <c r="AL23" s="58" t="b">
        <v>1</v>
      </c>
      <c r="AM23" s="58" t="b">
        <v>1</v>
      </c>
      <c r="AN23" s="58" t="b">
        <v>1</v>
      </c>
      <c r="AO23" s="58" t="b">
        <v>1</v>
      </c>
      <c r="AP23" s="41"/>
      <c r="AQ23" s="54">
        <f t="shared" si="4"/>
        <v>8</v>
      </c>
    </row>
    <row r="24">
      <c r="A24" s="41" t="s">
        <v>275</v>
      </c>
      <c r="B24" s="41" t="s">
        <v>276</v>
      </c>
      <c r="C24" s="57" t="s">
        <v>277</v>
      </c>
      <c r="D24" s="41" t="s">
        <v>22</v>
      </c>
      <c r="E24" s="37">
        <f t="shared" si="1"/>
        <v>33</v>
      </c>
      <c r="F24" s="37">
        <f t="shared" si="2"/>
        <v>27</v>
      </c>
      <c r="G24" s="52">
        <f t="shared" si="3"/>
        <v>81.81818182</v>
      </c>
      <c r="H24" s="41"/>
      <c r="I24" s="58" t="b">
        <v>1</v>
      </c>
      <c r="J24" s="58" t="b">
        <v>1</v>
      </c>
      <c r="K24" s="58" t="b">
        <v>1</v>
      </c>
      <c r="L24" s="58" t="b">
        <v>1</v>
      </c>
      <c r="M24" s="58" t="b">
        <v>1</v>
      </c>
      <c r="N24" s="58" t="b">
        <v>1</v>
      </c>
      <c r="O24" s="58" t="b">
        <v>1</v>
      </c>
      <c r="P24" s="58" t="b">
        <v>0</v>
      </c>
      <c r="Q24" s="58" t="b">
        <v>1</v>
      </c>
      <c r="R24" s="58" t="b">
        <v>1</v>
      </c>
      <c r="S24" s="58" t="b">
        <v>1</v>
      </c>
      <c r="T24" s="58" t="b">
        <v>1</v>
      </c>
      <c r="U24" s="58" t="b">
        <v>1</v>
      </c>
      <c r="V24" s="58" t="b">
        <v>1</v>
      </c>
      <c r="W24" s="58" t="b">
        <v>0</v>
      </c>
      <c r="X24" s="58" t="b">
        <v>0</v>
      </c>
      <c r="Y24" s="58" t="b">
        <v>1</v>
      </c>
      <c r="Z24" s="58" t="b">
        <v>1</v>
      </c>
      <c r="AA24" s="58" t="b">
        <v>1</v>
      </c>
      <c r="AB24" s="58" t="b">
        <v>1</v>
      </c>
      <c r="AC24" s="58" t="b">
        <v>1</v>
      </c>
      <c r="AD24" s="58" t="b">
        <v>0</v>
      </c>
      <c r="AE24" s="58" t="b">
        <v>1</v>
      </c>
      <c r="AF24" s="58" t="b">
        <v>0</v>
      </c>
      <c r="AG24" s="58" t="b">
        <v>0</v>
      </c>
      <c r="AH24" s="58" t="b">
        <v>1</v>
      </c>
      <c r="AI24" s="58" t="b">
        <v>1</v>
      </c>
      <c r="AJ24" s="58" t="b">
        <v>1</v>
      </c>
      <c r="AK24" s="58" t="b">
        <v>1</v>
      </c>
      <c r="AL24" s="58" t="b">
        <v>1</v>
      </c>
      <c r="AM24" s="58" t="b">
        <v>1</v>
      </c>
      <c r="AN24" s="58" t="b">
        <v>1</v>
      </c>
      <c r="AO24" s="58" t="b">
        <v>1</v>
      </c>
      <c r="AP24" s="41"/>
      <c r="AQ24" s="54">
        <f t="shared" si="4"/>
        <v>8</v>
      </c>
    </row>
    <row r="25">
      <c r="A25" s="41" t="s">
        <v>278</v>
      </c>
      <c r="B25" s="41" t="s">
        <v>279</v>
      </c>
      <c r="C25" s="57" t="s">
        <v>280</v>
      </c>
      <c r="D25" s="41" t="s">
        <v>22</v>
      </c>
      <c r="E25" s="37">
        <f t="shared" si="1"/>
        <v>33</v>
      </c>
      <c r="F25" s="37">
        <f t="shared" si="2"/>
        <v>7</v>
      </c>
      <c r="G25" s="55">
        <f t="shared" si="3"/>
        <v>21.21212121</v>
      </c>
      <c r="H25" s="41"/>
      <c r="I25" s="58" t="b">
        <v>1</v>
      </c>
      <c r="J25" s="58" t="b">
        <v>1</v>
      </c>
      <c r="K25" s="58" t="b">
        <v>1</v>
      </c>
      <c r="L25" s="58" t="b">
        <v>1</v>
      </c>
      <c r="M25" s="58" t="b">
        <v>1</v>
      </c>
      <c r="N25" s="58" t="b">
        <v>1</v>
      </c>
      <c r="O25" s="58" t="b">
        <v>0</v>
      </c>
      <c r="P25" s="58" t="b">
        <v>0</v>
      </c>
      <c r="Q25" s="58" t="b">
        <v>0</v>
      </c>
      <c r="R25" s="58" t="b">
        <v>0</v>
      </c>
      <c r="S25" s="58" t="b">
        <v>0</v>
      </c>
      <c r="T25" s="58" t="b">
        <v>0</v>
      </c>
      <c r="U25" s="58" t="b">
        <v>0</v>
      </c>
      <c r="V25" s="58" t="b">
        <v>0</v>
      </c>
      <c r="W25" s="58" t="b">
        <v>0</v>
      </c>
      <c r="X25" s="58" t="b">
        <v>0</v>
      </c>
      <c r="Y25" s="58" t="b">
        <v>0</v>
      </c>
      <c r="Z25" s="58" t="b">
        <v>0</v>
      </c>
      <c r="AA25" s="58" t="b">
        <v>0</v>
      </c>
      <c r="AB25" s="58" t="b">
        <v>0</v>
      </c>
      <c r="AC25" s="58" t="b">
        <v>0</v>
      </c>
      <c r="AD25" s="58" t="b">
        <v>0</v>
      </c>
      <c r="AE25" s="58" t="b">
        <v>0</v>
      </c>
      <c r="AF25" s="58" t="b">
        <v>0</v>
      </c>
      <c r="AG25" s="58" t="b">
        <v>0</v>
      </c>
      <c r="AH25" s="58" t="b">
        <v>0</v>
      </c>
      <c r="AI25" s="58" t="b">
        <v>0</v>
      </c>
      <c r="AJ25" s="58" t="b">
        <v>0</v>
      </c>
      <c r="AK25" s="58" t="b">
        <v>0</v>
      </c>
      <c r="AL25" s="58" t="b">
        <v>0</v>
      </c>
      <c r="AM25" s="58" t="b">
        <v>0</v>
      </c>
      <c r="AN25" s="58" t="b">
        <v>0</v>
      </c>
      <c r="AO25" s="58" t="b">
        <v>1</v>
      </c>
      <c r="AP25" s="41"/>
      <c r="AQ25" s="54">
        <f t="shared" si="4"/>
        <v>1</v>
      </c>
    </row>
    <row r="26">
      <c r="A26" s="41" t="s">
        <v>281</v>
      </c>
      <c r="B26" s="41" t="s">
        <v>282</v>
      </c>
      <c r="C26" s="57" t="s">
        <v>283</v>
      </c>
      <c r="D26" s="41" t="s">
        <v>22</v>
      </c>
      <c r="E26" s="37">
        <f t="shared" si="1"/>
        <v>33</v>
      </c>
      <c r="F26" s="37">
        <f t="shared" si="2"/>
        <v>14</v>
      </c>
      <c r="G26" s="55">
        <f t="shared" si="3"/>
        <v>42.42424242</v>
      </c>
      <c r="H26" s="41"/>
      <c r="I26" s="58" t="b">
        <v>0</v>
      </c>
      <c r="J26" s="58" t="b">
        <v>0</v>
      </c>
      <c r="K26" s="58" t="b">
        <v>1</v>
      </c>
      <c r="L26" s="58" t="b">
        <v>0</v>
      </c>
      <c r="M26" s="58" t="b">
        <v>0</v>
      </c>
      <c r="N26" s="58" t="b">
        <v>0</v>
      </c>
      <c r="O26" s="58" t="b">
        <v>0</v>
      </c>
      <c r="P26" s="58" t="b">
        <v>0</v>
      </c>
      <c r="Q26" s="58" t="b">
        <v>1</v>
      </c>
      <c r="R26" s="58" t="b">
        <v>1</v>
      </c>
      <c r="S26" s="58" t="b">
        <v>1</v>
      </c>
      <c r="T26" s="58" t="b">
        <v>1</v>
      </c>
      <c r="U26" s="58" t="b">
        <v>1</v>
      </c>
      <c r="V26" s="58" t="b">
        <v>1</v>
      </c>
      <c r="W26" s="58" t="b">
        <v>1</v>
      </c>
      <c r="X26" s="58" t="b">
        <v>1</v>
      </c>
      <c r="Y26" s="58" t="b">
        <v>0</v>
      </c>
      <c r="Z26" s="58" t="b">
        <v>1</v>
      </c>
      <c r="AA26" s="58" t="b">
        <v>1</v>
      </c>
      <c r="AB26" s="58" t="b">
        <v>1</v>
      </c>
      <c r="AC26" s="58" t="b">
        <v>0</v>
      </c>
      <c r="AD26" s="58" t="b">
        <v>0</v>
      </c>
      <c r="AE26" s="58" t="b">
        <v>0</v>
      </c>
      <c r="AF26" s="58" t="b">
        <v>0</v>
      </c>
      <c r="AG26" s="58" t="b">
        <v>0</v>
      </c>
      <c r="AH26" s="58" t="b">
        <v>0</v>
      </c>
      <c r="AI26" s="58" t="b">
        <v>1</v>
      </c>
      <c r="AJ26" s="58" t="b">
        <v>1</v>
      </c>
      <c r="AK26" s="58" t="b">
        <v>0</v>
      </c>
      <c r="AL26" s="58" t="b">
        <v>0</v>
      </c>
      <c r="AM26" s="58" t="b">
        <v>0</v>
      </c>
      <c r="AN26" s="58" t="b">
        <v>0</v>
      </c>
      <c r="AO26" s="58" t="b">
        <v>0</v>
      </c>
      <c r="AP26" s="41"/>
      <c r="AQ26" s="54">
        <f t="shared" si="4"/>
        <v>2</v>
      </c>
    </row>
    <row r="27">
      <c r="A27" s="41" t="s">
        <v>284</v>
      </c>
      <c r="B27" s="41" t="s">
        <v>285</v>
      </c>
      <c r="C27" s="57" t="s">
        <v>286</v>
      </c>
      <c r="D27" s="41" t="s">
        <v>22</v>
      </c>
      <c r="E27" s="37">
        <f t="shared" si="1"/>
        <v>33</v>
      </c>
      <c r="F27" s="37">
        <f t="shared" si="2"/>
        <v>15</v>
      </c>
      <c r="G27" s="55">
        <f t="shared" si="3"/>
        <v>45.45454545</v>
      </c>
      <c r="H27" s="41"/>
      <c r="I27" s="58" t="b">
        <v>0</v>
      </c>
      <c r="J27" s="58" t="b">
        <v>0</v>
      </c>
      <c r="K27" s="58" t="b">
        <v>0</v>
      </c>
      <c r="L27" s="58" t="b">
        <v>0</v>
      </c>
      <c r="M27" s="58" t="b">
        <v>0</v>
      </c>
      <c r="N27" s="58" t="b">
        <v>1</v>
      </c>
      <c r="O27" s="58" t="b">
        <v>0</v>
      </c>
      <c r="P27" s="58" t="b">
        <v>0</v>
      </c>
      <c r="Q27" s="58" t="b">
        <v>0</v>
      </c>
      <c r="R27" s="58" t="b">
        <v>0</v>
      </c>
      <c r="S27" s="58" t="b">
        <v>0</v>
      </c>
      <c r="T27" s="58" t="b">
        <v>1</v>
      </c>
      <c r="U27" s="58" t="b">
        <v>0</v>
      </c>
      <c r="V27" s="58" t="b">
        <v>1</v>
      </c>
      <c r="W27" s="58" t="b">
        <v>0</v>
      </c>
      <c r="X27" s="58" t="b">
        <v>1</v>
      </c>
      <c r="Y27" s="58" t="b">
        <v>1</v>
      </c>
      <c r="Z27" s="58" t="b">
        <v>0</v>
      </c>
      <c r="AA27" s="58" t="b">
        <v>0</v>
      </c>
      <c r="AB27" s="58" t="b">
        <v>0</v>
      </c>
      <c r="AC27" s="58" t="b">
        <v>0</v>
      </c>
      <c r="AD27" s="58" t="b">
        <v>1</v>
      </c>
      <c r="AE27" s="58" t="b">
        <v>1</v>
      </c>
      <c r="AF27" s="58" t="b">
        <v>1</v>
      </c>
      <c r="AG27" s="58" t="b">
        <v>0</v>
      </c>
      <c r="AH27" s="58" t="b">
        <v>1</v>
      </c>
      <c r="AI27" s="58" t="b">
        <v>0</v>
      </c>
      <c r="AJ27" s="58" t="b">
        <v>1</v>
      </c>
      <c r="AK27" s="58" t="b">
        <v>1</v>
      </c>
      <c r="AL27" s="58" t="b">
        <v>1</v>
      </c>
      <c r="AM27" s="58" t="b">
        <v>1</v>
      </c>
      <c r="AN27" s="58" t="b">
        <v>1</v>
      </c>
      <c r="AO27" s="58" t="b">
        <v>1</v>
      </c>
      <c r="AP27" s="41"/>
      <c r="AQ27" s="54">
        <f t="shared" si="4"/>
        <v>7</v>
      </c>
    </row>
    <row r="28">
      <c r="A28" s="41" t="s">
        <v>287</v>
      </c>
      <c r="B28" s="41" t="s">
        <v>288</v>
      </c>
      <c r="C28" s="57" t="s">
        <v>289</v>
      </c>
      <c r="D28" s="41" t="s">
        <v>22</v>
      </c>
      <c r="E28" s="37">
        <f t="shared" si="1"/>
        <v>33</v>
      </c>
      <c r="F28" s="37">
        <f t="shared" si="2"/>
        <v>26</v>
      </c>
      <c r="G28" s="52">
        <f t="shared" si="3"/>
        <v>78.78787879</v>
      </c>
      <c r="H28" s="41"/>
      <c r="I28" s="58" t="b">
        <v>0</v>
      </c>
      <c r="J28" s="58" t="b">
        <v>0</v>
      </c>
      <c r="K28" s="58" t="b">
        <v>1</v>
      </c>
      <c r="L28" s="58" t="b">
        <v>1</v>
      </c>
      <c r="M28" s="58" t="b">
        <v>1</v>
      </c>
      <c r="N28" s="58" t="b">
        <v>1</v>
      </c>
      <c r="O28" s="58" t="b">
        <v>1</v>
      </c>
      <c r="P28" s="58" t="b">
        <v>0</v>
      </c>
      <c r="Q28" s="58" t="b">
        <v>0</v>
      </c>
      <c r="R28" s="58" t="b">
        <v>1</v>
      </c>
      <c r="S28" s="58" t="b">
        <v>1</v>
      </c>
      <c r="T28" s="58" t="b">
        <v>1</v>
      </c>
      <c r="U28" s="58" t="b">
        <v>1</v>
      </c>
      <c r="V28" s="58" t="b">
        <v>1</v>
      </c>
      <c r="W28" s="58" t="b">
        <v>1</v>
      </c>
      <c r="X28" s="58" t="b">
        <v>1</v>
      </c>
      <c r="Y28" s="58" t="b">
        <v>1</v>
      </c>
      <c r="Z28" s="58" t="b">
        <v>1</v>
      </c>
      <c r="AA28" s="58" t="b">
        <v>1</v>
      </c>
      <c r="AB28" s="58" t="b">
        <v>1</v>
      </c>
      <c r="AC28" s="58" t="b">
        <v>1</v>
      </c>
      <c r="AD28" s="58" t="b">
        <v>0</v>
      </c>
      <c r="AE28" s="58" t="b">
        <v>1</v>
      </c>
      <c r="AF28" s="58" t="b">
        <v>1</v>
      </c>
      <c r="AG28" s="58" t="b">
        <v>0</v>
      </c>
      <c r="AH28" s="58" t="b">
        <v>1</v>
      </c>
      <c r="AI28" s="58" t="b">
        <v>1</v>
      </c>
      <c r="AJ28" s="58" t="b">
        <v>1</v>
      </c>
      <c r="AK28" s="58" t="b">
        <v>0</v>
      </c>
      <c r="AL28" s="58" t="b">
        <v>1</v>
      </c>
      <c r="AM28" s="58" t="b">
        <v>1</v>
      </c>
      <c r="AN28" s="58" t="b">
        <v>1</v>
      </c>
      <c r="AO28" s="58" t="b">
        <v>1</v>
      </c>
      <c r="AP28" s="41"/>
      <c r="AQ28" s="54">
        <f t="shared" si="4"/>
        <v>7</v>
      </c>
    </row>
    <row r="29">
      <c r="A29" s="41" t="s">
        <v>290</v>
      </c>
      <c r="B29" s="41" t="s">
        <v>291</v>
      </c>
      <c r="C29" s="57" t="s">
        <v>292</v>
      </c>
      <c r="D29" s="41" t="s">
        <v>22</v>
      </c>
      <c r="E29" s="37">
        <f t="shared" si="1"/>
        <v>33</v>
      </c>
      <c r="F29" s="37">
        <f t="shared" si="2"/>
        <v>21</v>
      </c>
      <c r="G29" s="55">
        <f t="shared" si="3"/>
        <v>63.63636364</v>
      </c>
      <c r="H29" s="41"/>
      <c r="I29" s="58" t="b">
        <v>1</v>
      </c>
      <c r="J29" s="58" t="b">
        <v>0</v>
      </c>
      <c r="K29" s="58" t="b">
        <v>1</v>
      </c>
      <c r="L29" s="58" t="b">
        <v>1</v>
      </c>
      <c r="M29" s="58" t="b">
        <v>1</v>
      </c>
      <c r="N29" s="58" t="b">
        <v>1</v>
      </c>
      <c r="O29" s="58" t="b">
        <v>0</v>
      </c>
      <c r="P29" s="58" t="b">
        <v>1</v>
      </c>
      <c r="Q29" s="58" t="b">
        <v>1</v>
      </c>
      <c r="R29" s="58" t="b">
        <v>1</v>
      </c>
      <c r="S29" s="58" t="b">
        <v>0</v>
      </c>
      <c r="T29" s="58" t="b">
        <v>0</v>
      </c>
      <c r="U29" s="58" t="b">
        <v>0</v>
      </c>
      <c r="V29" s="58" t="b">
        <v>0</v>
      </c>
      <c r="W29" s="58" t="b">
        <v>1</v>
      </c>
      <c r="X29" s="58" t="b">
        <v>0</v>
      </c>
      <c r="Y29" s="58" t="b">
        <v>0</v>
      </c>
      <c r="Z29" s="58" t="b">
        <v>0</v>
      </c>
      <c r="AA29" s="58" t="b">
        <v>1</v>
      </c>
      <c r="AB29" s="58" t="b">
        <v>1</v>
      </c>
      <c r="AC29" s="58" t="b">
        <v>0</v>
      </c>
      <c r="AD29" s="58" t="b">
        <v>0</v>
      </c>
      <c r="AE29" s="58" t="b">
        <v>1</v>
      </c>
      <c r="AF29" s="58" t="b">
        <v>1</v>
      </c>
      <c r="AG29" s="58" t="b">
        <v>1</v>
      </c>
      <c r="AH29" s="58" t="b">
        <v>0</v>
      </c>
      <c r="AI29" s="58" t="b">
        <v>1</v>
      </c>
      <c r="AJ29" s="58" t="b">
        <v>1</v>
      </c>
      <c r="AK29" s="58" t="b">
        <v>1</v>
      </c>
      <c r="AL29" s="58" t="b">
        <v>1</v>
      </c>
      <c r="AM29" s="58" t="b">
        <v>1</v>
      </c>
      <c r="AN29" s="58" t="b">
        <v>1</v>
      </c>
      <c r="AO29" s="58" t="b">
        <v>1</v>
      </c>
      <c r="AP29" s="41"/>
      <c r="AQ29" s="54">
        <f t="shared" si="4"/>
        <v>8</v>
      </c>
    </row>
    <row r="30">
      <c r="A30" s="41" t="s">
        <v>293</v>
      </c>
      <c r="B30" s="41" t="s">
        <v>294</v>
      </c>
      <c r="C30" s="57" t="s">
        <v>295</v>
      </c>
      <c r="D30" s="41" t="s">
        <v>22</v>
      </c>
      <c r="E30" s="37">
        <f t="shared" si="1"/>
        <v>33</v>
      </c>
      <c r="F30" s="37">
        <f t="shared" si="2"/>
        <v>29</v>
      </c>
      <c r="G30" s="52">
        <f t="shared" si="3"/>
        <v>87.87878788</v>
      </c>
      <c r="H30" s="41"/>
      <c r="I30" s="58" t="b">
        <v>1</v>
      </c>
      <c r="J30" s="58" t="b">
        <v>1</v>
      </c>
      <c r="K30" s="58" t="b">
        <v>1</v>
      </c>
      <c r="L30" s="58" t="b">
        <v>1</v>
      </c>
      <c r="M30" s="58" t="b">
        <v>1</v>
      </c>
      <c r="N30" s="58" t="b">
        <v>0</v>
      </c>
      <c r="O30" s="58" t="b">
        <v>1</v>
      </c>
      <c r="P30" s="58" t="b">
        <v>1</v>
      </c>
      <c r="Q30" s="58" t="b">
        <v>1</v>
      </c>
      <c r="R30" s="58" t="b">
        <v>1</v>
      </c>
      <c r="S30" s="58" t="b">
        <v>1</v>
      </c>
      <c r="T30" s="58" t="b">
        <v>1</v>
      </c>
      <c r="U30" s="58" t="b">
        <v>1</v>
      </c>
      <c r="V30" s="58" t="b">
        <v>0</v>
      </c>
      <c r="W30" s="58" t="b">
        <v>1</v>
      </c>
      <c r="X30" s="58" t="b">
        <v>1</v>
      </c>
      <c r="Y30" s="58" t="b">
        <v>1</v>
      </c>
      <c r="Z30" s="58" t="b">
        <v>1</v>
      </c>
      <c r="AA30" s="58" t="b">
        <v>1</v>
      </c>
      <c r="AB30" s="58" t="b">
        <v>1</v>
      </c>
      <c r="AC30" s="58" t="b">
        <v>1</v>
      </c>
      <c r="AD30" s="58" t="b">
        <v>1</v>
      </c>
      <c r="AE30" s="58" t="b">
        <v>1</v>
      </c>
      <c r="AF30" s="58" t="b">
        <v>0</v>
      </c>
      <c r="AG30" s="58" t="b">
        <v>1</v>
      </c>
      <c r="AH30" s="58" t="b">
        <v>0</v>
      </c>
      <c r="AI30" s="58" t="b">
        <v>1</v>
      </c>
      <c r="AJ30" s="58" t="b">
        <v>1</v>
      </c>
      <c r="AK30" s="58" t="b">
        <v>1</v>
      </c>
      <c r="AL30" s="58" t="b">
        <v>1</v>
      </c>
      <c r="AM30" s="58" t="b">
        <v>1</v>
      </c>
      <c r="AN30" s="58" t="b">
        <v>1</v>
      </c>
      <c r="AO30" s="58" t="b">
        <v>1</v>
      </c>
      <c r="AP30" s="41"/>
      <c r="AQ30" s="54">
        <f t="shared" si="4"/>
        <v>8</v>
      </c>
    </row>
    <row r="31">
      <c r="A31" s="41" t="s">
        <v>296</v>
      </c>
      <c r="B31" s="41" t="s">
        <v>297</v>
      </c>
      <c r="C31" s="57" t="s">
        <v>298</v>
      </c>
      <c r="D31" s="41" t="s">
        <v>22</v>
      </c>
      <c r="E31" s="37">
        <f t="shared" si="1"/>
        <v>33</v>
      </c>
      <c r="F31" s="37">
        <f t="shared" si="2"/>
        <v>6</v>
      </c>
      <c r="G31" s="55">
        <f t="shared" si="3"/>
        <v>18.18181818</v>
      </c>
      <c r="H31" s="41"/>
      <c r="I31" s="58" t="b">
        <v>0</v>
      </c>
      <c r="J31" s="58" t="b">
        <v>0</v>
      </c>
      <c r="K31" s="58" t="b">
        <v>0</v>
      </c>
      <c r="L31" s="58" t="b">
        <v>0</v>
      </c>
      <c r="M31" s="58" t="b">
        <v>0</v>
      </c>
      <c r="N31" s="58" t="b">
        <v>0</v>
      </c>
      <c r="O31" s="58" t="b">
        <v>0</v>
      </c>
      <c r="P31" s="58" t="b">
        <v>0</v>
      </c>
      <c r="Q31" s="58" t="b">
        <v>0</v>
      </c>
      <c r="R31" s="58" t="b">
        <v>0</v>
      </c>
      <c r="S31" s="58" t="b">
        <v>0</v>
      </c>
      <c r="T31" s="58" t="b">
        <v>0</v>
      </c>
      <c r="U31" s="58" t="b">
        <v>0</v>
      </c>
      <c r="V31" s="58" t="b">
        <v>0</v>
      </c>
      <c r="W31" s="58" t="b">
        <v>0</v>
      </c>
      <c r="X31" s="58" t="b">
        <v>0</v>
      </c>
      <c r="Y31" s="58" t="b">
        <v>0</v>
      </c>
      <c r="Z31" s="58" t="b">
        <v>0</v>
      </c>
      <c r="AA31" s="58" t="b">
        <v>0</v>
      </c>
      <c r="AB31" s="58" t="b">
        <v>1</v>
      </c>
      <c r="AC31" s="58" t="b">
        <v>0</v>
      </c>
      <c r="AD31" s="58" t="b">
        <v>0</v>
      </c>
      <c r="AE31" s="58" t="b">
        <v>0</v>
      </c>
      <c r="AF31" s="58" t="b">
        <v>1</v>
      </c>
      <c r="AG31" s="58" t="b">
        <v>1</v>
      </c>
      <c r="AH31" s="58" t="b">
        <v>1</v>
      </c>
      <c r="AI31" s="58" t="b">
        <v>1</v>
      </c>
      <c r="AJ31" s="58" t="b">
        <v>0</v>
      </c>
      <c r="AK31" s="58" t="b">
        <v>0</v>
      </c>
      <c r="AL31" s="58" t="b">
        <v>0</v>
      </c>
      <c r="AM31" s="58" t="b">
        <v>0</v>
      </c>
      <c r="AN31" s="58" t="b">
        <v>0</v>
      </c>
      <c r="AO31" s="58" t="b">
        <v>1</v>
      </c>
      <c r="AP31" s="41"/>
      <c r="AQ31" s="54">
        <f t="shared" si="4"/>
        <v>4</v>
      </c>
    </row>
    <row r="32">
      <c r="A32" s="41" t="s">
        <v>299</v>
      </c>
      <c r="B32" s="41" t="s">
        <v>300</v>
      </c>
      <c r="C32" s="57" t="s">
        <v>301</v>
      </c>
      <c r="D32" s="41" t="s">
        <v>22</v>
      </c>
      <c r="E32" s="37">
        <f t="shared" si="1"/>
        <v>33</v>
      </c>
      <c r="F32" s="37">
        <f t="shared" si="2"/>
        <v>26</v>
      </c>
      <c r="G32" s="52">
        <f t="shared" si="3"/>
        <v>78.78787879</v>
      </c>
      <c r="H32" s="41"/>
      <c r="I32" s="58" t="b">
        <v>1</v>
      </c>
      <c r="J32" s="58" t="b">
        <v>0</v>
      </c>
      <c r="K32" s="58" t="b">
        <v>1</v>
      </c>
      <c r="L32" s="58" t="b">
        <v>0</v>
      </c>
      <c r="M32" s="58" t="b">
        <v>0</v>
      </c>
      <c r="N32" s="58" t="b">
        <v>0</v>
      </c>
      <c r="O32" s="58" t="b">
        <v>1</v>
      </c>
      <c r="P32" s="58" t="b">
        <v>1</v>
      </c>
      <c r="Q32" s="58" t="b">
        <v>1</v>
      </c>
      <c r="R32" s="58" t="b">
        <v>1</v>
      </c>
      <c r="S32" s="58" t="b">
        <v>0</v>
      </c>
      <c r="T32" s="58" t="b">
        <v>1</v>
      </c>
      <c r="U32" s="58" t="b">
        <v>0</v>
      </c>
      <c r="V32" s="58" t="b">
        <v>1</v>
      </c>
      <c r="W32" s="58" t="b">
        <v>1</v>
      </c>
      <c r="X32" s="58" t="b">
        <v>1</v>
      </c>
      <c r="Y32" s="58" t="b">
        <v>1</v>
      </c>
      <c r="Z32" s="58" t="b">
        <v>1</v>
      </c>
      <c r="AA32" s="58" t="b">
        <v>1</v>
      </c>
      <c r="AB32" s="58" t="b">
        <v>1</v>
      </c>
      <c r="AC32" s="58" t="b">
        <v>0</v>
      </c>
      <c r="AD32" s="58" t="b">
        <v>1</v>
      </c>
      <c r="AE32" s="58" t="b">
        <v>1</v>
      </c>
      <c r="AF32" s="58" t="b">
        <v>1</v>
      </c>
      <c r="AG32" s="58" t="b">
        <v>1</v>
      </c>
      <c r="AH32" s="58" t="b">
        <v>1</v>
      </c>
      <c r="AI32" s="58" t="b">
        <v>1</v>
      </c>
      <c r="AJ32" s="58" t="b">
        <v>1</v>
      </c>
      <c r="AK32" s="58" t="b">
        <v>1</v>
      </c>
      <c r="AL32" s="58" t="b">
        <v>1</v>
      </c>
      <c r="AM32" s="58" t="b">
        <v>1</v>
      </c>
      <c r="AN32" s="58" t="b">
        <v>1</v>
      </c>
      <c r="AO32" s="58" t="b">
        <v>1</v>
      </c>
      <c r="AP32" s="41"/>
      <c r="AQ32" s="54">
        <f t="shared" si="4"/>
        <v>9</v>
      </c>
    </row>
    <row r="33">
      <c r="A33" s="41" t="s">
        <v>302</v>
      </c>
      <c r="B33" s="41" t="s">
        <v>303</v>
      </c>
      <c r="C33" s="57" t="s">
        <v>304</v>
      </c>
      <c r="D33" s="41" t="s">
        <v>22</v>
      </c>
      <c r="E33" s="37">
        <f t="shared" si="1"/>
        <v>33</v>
      </c>
      <c r="F33" s="37">
        <f t="shared" si="2"/>
        <v>22</v>
      </c>
      <c r="G33" s="55">
        <f t="shared" si="3"/>
        <v>66.66666667</v>
      </c>
      <c r="H33" s="41"/>
      <c r="I33" s="58" t="b">
        <v>0</v>
      </c>
      <c r="J33" s="58" t="b">
        <v>0</v>
      </c>
      <c r="K33" s="58" t="b">
        <v>1</v>
      </c>
      <c r="L33" s="58" t="b">
        <v>1</v>
      </c>
      <c r="M33" s="58" t="b">
        <v>0</v>
      </c>
      <c r="N33" s="58" t="b">
        <v>1</v>
      </c>
      <c r="O33" s="58" t="b">
        <v>1</v>
      </c>
      <c r="P33" s="58" t="b">
        <v>1</v>
      </c>
      <c r="Q33" s="58" t="b">
        <v>1</v>
      </c>
      <c r="R33" s="58" t="b">
        <v>1</v>
      </c>
      <c r="S33" s="58" t="b">
        <v>1</v>
      </c>
      <c r="T33" s="58" t="b">
        <v>0</v>
      </c>
      <c r="U33" s="58" t="b">
        <v>0</v>
      </c>
      <c r="V33" s="58" t="b">
        <v>1</v>
      </c>
      <c r="W33" s="58" t="b">
        <v>0</v>
      </c>
      <c r="X33" s="58" t="b">
        <v>1</v>
      </c>
      <c r="Y33" s="58" t="b">
        <v>1</v>
      </c>
      <c r="Z33" s="58" t="b">
        <v>1</v>
      </c>
      <c r="AA33" s="58" t="b">
        <v>0</v>
      </c>
      <c r="AB33" s="58" t="b">
        <v>0</v>
      </c>
      <c r="AC33" s="58" t="b">
        <v>1</v>
      </c>
      <c r="AD33" s="58" t="b">
        <v>1</v>
      </c>
      <c r="AE33" s="58" t="b">
        <v>1</v>
      </c>
      <c r="AF33" s="58" t="b">
        <v>1</v>
      </c>
      <c r="AG33" s="58" t="b">
        <v>1</v>
      </c>
      <c r="AH33" s="58" t="b">
        <v>1</v>
      </c>
      <c r="AI33" s="58" t="b">
        <v>0</v>
      </c>
      <c r="AJ33" s="58" t="b">
        <v>1</v>
      </c>
      <c r="AK33" s="58" t="b">
        <v>1</v>
      </c>
      <c r="AL33" s="58" t="b">
        <v>1</v>
      </c>
      <c r="AM33" s="58" t="b">
        <v>0</v>
      </c>
      <c r="AN33" s="58" t="b">
        <v>0</v>
      </c>
      <c r="AO33" s="58" t="b">
        <v>1</v>
      </c>
      <c r="AP33" s="41"/>
      <c r="AQ33" s="54">
        <f t="shared" si="4"/>
        <v>6</v>
      </c>
    </row>
    <row r="34">
      <c r="A34" s="41" t="s">
        <v>305</v>
      </c>
      <c r="B34" s="41" t="s">
        <v>306</v>
      </c>
      <c r="C34" s="57" t="s">
        <v>307</v>
      </c>
      <c r="D34" s="41" t="s">
        <v>22</v>
      </c>
      <c r="E34" s="37">
        <f t="shared" si="1"/>
        <v>33</v>
      </c>
      <c r="F34" s="37">
        <f t="shared" si="2"/>
        <v>21</v>
      </c>
      <c r="G34" s="55">
        <f t="shared" si="3"/>
        <v>63.63636364</v>
      </c>
      <c r="H34" s="41"/>
      <c r="I34" s="58" t="b">
        <v>0</v>
      </c>
      <c r="J34" s="58" t="b">
        <v>0</v>
      </c>
      <c r="K34" s="58" t="b">
        <v>0</v>
      </c>
      <c r="L34" s="58" t="b">
        <v>1</v>
      </c>
      <c r="M34" s="58" t="b">
        <v>0</v>
      </c>
      <c r="N34" s="58" t="b">
        <v>0</v>
      </c>
      <c r="O34" s="58" t="b">
        <v>0</v>
      </c>
      <c r="P34" s="58" t="b">
        <v>0</v>
      </c>
      <c r="Q34" s="58" t="b">
        <v>0</v>
      </c>
      <c r="R34" s="58" t="b">
        <v>1</v>
      </c>
      <c r="S34" s="58" t="b">
        <v>1</v>
      </c>
      <c r="T34" s="58" t="b">
        <v>1</v>
      </c>
      <c r="U34" s="58" t="b">
        <v>1</v>
      </c>
      <c r="V34" s="58" t="b">
        <v>1</v>
      </c>
      <c r="W34" s="58" t="b">
        <v>1</v>
      </c>
      <c r="X34" s="58" t="b">
        <v>1</v>
      </c>
      <c r="Y34" s="58" t="b">
        <v>1</v>
      </c>
      <c r="Z34" s="58" t="b">
        <v>0</v>
      </c>
      <c r="AA34" s="58" t="b">
        <v>0</v>
      </c>
      <c r="AB34" s="58" t="b">
        <v>0</v>
      </c>
      <c r="AC34" s="58" t="b">
        <v>0</v>
      </c>
      <c r="AD34" s="58" t="b">
        <v>1</v>
      </c>
      <c r="AE34" s="58" t="b">
        <v>1</v>
      </c>
      <c r="AF34" s="58" t="b">
        <v>1</v>
      </c>
      <c r="AG34" s="58" t="b">
        <v>1</v>
      </c>
      <c r="AH34" s="58" t="b">
        <v>1</v>
      </c>
      <c r="AI34" s="58" t="b">
        <v>1</v>
      </c>
      <c r="AJ34" s="58" t="b">
        <v>1</v>
      </c>
      <c r="AK34" s="58" t="b">
        <v>1</v>
      </c>
      <c r="AL34" s="58" t="b">
        <v>1</v>
      </c>
      <c r="AM34" s="58" t="b">
        <v>1</v>
      </c>
      <c r="AN34" s="58" t="b">
        <v>1</v>
      </c>
      <c r="AO34" s="58" t="b">
        <v>1</v>
      </c>
      <c r="AP34" s="41"/>
      <c r="AQ34" s="54">
        <f t="shared" si="4"/>
        <v>9</v>
      </c>
    </row>
    <row r="35">
      <c r="A35" s="41" t="s">
        <v>308</v>
      </c>
      <c r="B35" s="41" t="s">
        <v>309</v>
      </c>
      <c r="C35" s="57" t="s">
        <v>310</v>
      </c>
      <c r="D35" s="41" t="s">
        <v>22</v>
      </c>
      <c r="E35" s="37">
        <f t="shared" si="1"/>
        <v>32</v>
      </c>
      <c r="F35" s="37">
        <f t="shared" si="2"/>
        <v>18</v>
      </c>
      <c r="G35" s="55">
        <f t="shared" si="3"/>
        <v>56.25</v>
      </c>
      <c r="H35" s="41"/>
      <c r="I35" s="58" t="b">
        <v>1</v>
      </c>
      <c r="J35" s="58" t="b">
        <v>1</v>
      </c>
      <c r="K35" s="58" t="b">
        <v>0</v>
      </c>
      <c r="L35" s="58" t="b">
        <v>0</v>
      </c>
      <c r="M35" s="58" t="b">
        <v>0</v>
      </c>
      <c r="N35" s="58" t="b">
        <v>0</v>
      </c>
      <c r="O35" s="58" t="b">
        <v>1</v>
      </c>
      <c r="P35" s="58" t="b">
        <v>1</v>
      </c>
      <c r="Q35" s="58" t="b">
        <v>1</v>
      </c>
      <c r="R35" s="58" t="b">
        <v>1</v>
      </c>
      <c r="S35" s="58" t="b">
        <v>0</v>
      </c>
      <c r="T35" s="58" t="b">
        <v>0</v>
      </c>
      <c r="U35" s="58" t="b">
        <v>0</v>
      </c>
      <c r="V35" s="58" t="b">
        <v>0</v>
      </c>
      <c r="W35" s="58" t="b">
        <v>0</v>
      </c>
      <c r="X35" s="58" t="b">
        <v>0</v>
      </c>
      <c r="Y35" s="58" t="b">
        <v>0</v>
      </c>
      <c r="Z35" s="58" t="b">
        <v>1</v>
      </c>
      <c r="AA35" s="58" t="b">
        <v>0</v>
      </c>
      <c r="AB35" s="58" t="b">
        <v>1</v>
      </c>
      <c r="AC35" s="58" t="b">
        <v>1</v>
      </c>
      <c r="AD35" s="58" t="b">
        <v>1</v>
      </c>
      <c r="AE35" s="58" t="b">
        <v>1</v>
      </c>
      <c r="AF35" s="58" t="b">
        <v>1</v>
      </c>
      <c r="AG35" s="58" t="b">
        <v>1</v>
      </c>
      <c r="AH35" s="58" t="b">
        <v>0</v>
      </c>
      <c r="AI35" s="58" t="b">
        <v>1</v>
      </c>
      <c r="AJ35" s="58" t="b">
        <v>0</v>
      </c>
      <c r="AK35" s="58" t="b">
        <v>1</v>
      </c>
      <c r="AL35" s="58" t="b">
        <v>1</v>
      </c>
      <c r="AM35" s="58" t="b">
        <v>1</v>
      </c>
      <c r="AN35" s="58" t="b">
        <v>1</v>
      </c>
      <c r="AO35" s="41"/>
      <c r="AP35" s="41"/>
      <c r="AQ35" s="54">
        <f t="shared" si="4"/>
        <v>6</v>
      </c>
    </row>
    <row r="36">
      <c r="A36" s="41" t="s">
        <v>311</v>
      </c>
      <c r="B36" s="41" t="s">
        <v>312</v>
      </c>
      <c r="C36" s="57" t="s">
        <v>313</v>
      </c>
      <c r="D36" s="41" t="s">
        <v>22</v>
      </c>
      <c r="E36" s="37">
        <f t="shared" si="1"/>
        <v>33</v>
      </c>
      <c r="F36" s="37">
        <f t="shared" si="2"/>
        <v>26</v>
      </c>
      <c r="G36" s="52">
        <f t="shared" si="3"/>
        <v>78.78787879</v>
      </c>
      <c r="H36" s="41"/>
      <c r="I36" s="58" t="b">
        <v>1</v>
      </c>
      <c r="J36" s="58" t="b">
        <v>0</v>
      </c>
      <c r="K36" s="58" t="b">
        <v>1</v>
      </c>
      <c r="L36" s="58" t="b">
        <v>0</v>
      </c>
      <c r="M36" s="58" t="b">
        <v>1</v>
      </c>
      <c r="N36" s="58" t="b">
        <v>1</v>
      </c>
      <c r="O36" s="58" t="b">
        <v>1</v>
      </c>
      <c r="P36" s="58" t="b">
        <v>1</v>
      </c>
      <c r="Q36" s="58" t="b">
        <v>1</v>
      </c>
      <c r="R36" s="58" t="b">
        <v>1</v>
      </c>
      <c r="S36" s="58" t="b">
        <v>1</v>
      </c>
      <c r="T36" s="58" t="b">
        <v>1</v>
      </c>
      <c r="U36" s="58" t="b">
        <v>1</v>
      </c>
      <c r="V36" s="58" t="b">
        <v>1</v>
      </c>
      <c r="W36" s="58" t="b">
        <v>1</v>
      </c>
      <c r="X36" s="58" t="b">
        <v>1</v>
      </c>
      <c r="Y36" s="58" t="b">
        <v>1</v>
      </c>
      <c r="Z36" s="58" t="b">
        <v>0</v>
      </c>
      <c r="AA36" s="58" t="b">
        <v>1</v>
      </c>
      <c r="AB36" s="58" t="b">
        <v>0</v>
      </c>
      <c r="AC36" s="58" t="b">
        <v>1</v>
      </c>
      <c r="AD36" s="58" t="b">
        <v>1</v>
      </c>
      <c r="AE36" s="58" t="b">
        <v>1</v>
      </c>
      <c r="AF36" s="58" t="b">
        <v>1</v>
      </c>
      <c r="AG36" s="58" t="b">
        <v>0</v>
      </c>
      <c r="AH36" s="58" t="b">
        <v>0</v>
      </c>
      <c r="AI36" s="58" t="b">
        <v>1</v>
      </c>
      <c r="AJ36" s="58" t="b">
        <v>1</v>
      </c>
      <c r="AK36" s="58" t="b">
        <v>1</v>
      </c>
      <c r="AL36" s="58" t="b">
        <v>1</v>
      </c>
      <c r="AM36" s="58" t="b">
        <v>1</v>
      </c>
      <c r="AN36" s="58" t="b">
        <v>0</v>
      </c>
      <c r="AO36" s="58" t="b">
        <v>1</v>
      </c>
      <c r="AP36" s="41"/>
      <c r="AQ36" s="54">
        <f t="shared" si="4"/>
        <v>6</v>
      </c>
    </row>
    <row r="37">
      <c r="A37" s="41" t="s">
        <v>314</v>
      </c>
      <c r="B37" s="41" t="s">
        <v>315</v>
      </c>
      <c r="C37" s="57" t="s">
        <v>316</v>
      </c>
      <c r="D37" s="41" t="s">
        <v>22</v>
      </c>
      <c r="E37" s="37">
        <f t="shared" si="1"/>
        <v>33</v>
      </c>
      <c r="F37" s="37">
        <f t="shared" si="2"/>
        <v>32</v>
      </c>
      <c r="G37" s="52">
        <f t="shared" si="3"/>
        <v>96.96969697</v>
      </c>
      <c r="H37" s="41"/>
      <c r="I37" s="58" t="b">
        <v>1</v>
      </c>
      <c r="J37" s="58" t="b">
        <v>1</v>
      </c>
      <c r="K37" s="58" t="b">
        <v>1</v>
      </c>
      <c r="L37" s="58" t="b">
        <v>1</v>
      </c>
      <c r="M37" s="58" t="b">
        <v>1</v>
      </c>
      <c r="N37" s="58" t="b">
        <v>1</v>
      </c>
      <c r="O37" s="58" t="b">
        <v>1</v>
      </c>
      <c r="P37" s="58" t="b">
        <v>1</v>
      </c>
      <c r="Q37" s="58" t="b">
        <v>1</v>
      </c>
      <c r="R37" s="58" t="b">
        <v>1</v>
      </c>
      <c r="S37" s="58" t="b">
        <v>1</v>
      </c>
      <c r="T37" s="58" t="b">
        <v>1</v>
      </c>
      <c r="U37" s="58" t="b">
        <v>1</v>
      </c>
      <c r="V37" s="58" t="b">
        <v>1</v>
      </c>
      <c r="W37" s="58" t="b">
        <v>1</v>
      </c>
      <c r="X37" s="58" t="b">
        <v>1</v>
      </c>
      <c r="Y37" s="58" t="b">
        <v>1</v>
      </c>
      <c r="Z37" s="58" t="b">
        <v>1</v>
      </c>
      <c r="AA37" s="58" t="b">
        <v>0</v>
      </c>
      <c r="AB37" s="58" t="b">
        <v>1</v>
      </c>
      <c r="AC37" s="58" t="b">
        <v>1</v>
      </c>
      <c r="AD37" s="58" t="b">
        <v>1</v>
      </c>
      <c r="AE37" s="58" t="b">
        <v>1</v>
      </c>
      <c r="AF37" s="58" t="b">
        <v>1</v>
      </c>
      <c r="AG37" s="58" t="b">
        <v>1</v>
      </c>
      <c r="AH37" s="58" t="b">
        <v>1</v>
      </c>
      <c r="AI37" s="58" t="b">
        <v>1</v>
      </c>
      <c r="AJ37" s="58" t="b">
        <v>1</v>
      </c>
      <c r="AK37" s="58" t="b">
        <v>1</v>
      </c>
      <c r="AL37" s="58" t="b">
        <v>1</v>
      </c>
      <c r="AM37" s="58" t="b">
        <v>1</v>
      </c>
      <c r="AN37" s="58" t="b">
        <v>1</v>
      </c>
      <c r="AO37" s="58" t="b">
        <v>1</v>
      </c>
      <c r="AP37" s="41"/>
      <c r="AQ37" s="54">
        <f t="shared" si="4"/>
        <v>9</v>
      </c>
    </row>
    <row r="38">
      <c r="A38" s="41" t="s">
        <v>317</v>
      </c>
      <c r="B38" s="41" t="s">
        <v>318</v>
      </c>
      <c r="C38" s="57" t="s">
        <v>319</v>
      </c>
      <c r="D38" s="41" t="s">
        <v>22</v>
      </c>
      <c r="E38" s="37">
        <f t="shared" si="1"/>
        <v>33</v>
      </c>
      <c r="F38" s="37">
        <f t="shared" si="2"/>
        <v>6</v>
      </c>
      <c r="G38" s="55">
        <f t="shared" si="3"/>
        <v>18.18181818</v>
      </c>
      <c r="H38" s="41"/>
      <c r="I38" s="58" t="b">
        <v>0</v>
      </c>
      <c r="J38" s="58" t="b">
        <v>0</v>
      </c>
      <c r="K38" s="58" t="b">
        <v>0</v>
      </c>
      <c r="L38" s="58" t="b">
        <v>0</v>
      </c>
      <c r="M38" s="58" t="b">
        <v>0</v>
      </c>
      <c r="N38" s="58" t="b">
        <v>0</v>
      </c>
      <c r="O38" s="58" t="b">
        <v>0</v>
      </c>
      <c r="P38" s="58" t="b">
        <v>0</v>
      </c>
      <c r="Q38" s="58" t="b">
        <v>0</v>
      </c>
      <c r="R38" s="58" t="b">
        <v>0</v>
      </c>
      <c r="S38" s="58" t="b">
        <v>0</v>
      </c>
      <c r="T38" s="58" t="b">
        <v>0</v>
      </c>
      <c r="U38" s="58" t="b">
        <v>0</v>
      </c>
      <c r="V38" s="58" t="b">
        <v>0</v>
      </c>
      <c r="W38" s="58" t="b">
        <v>0</v>
      </c>
      <c r="X38" s="58" t="b">
        <v>0</v>
      </c>
      <c r="Y38" s="58" t="b">
        <v>0</v>
      </c>
      <c r="Z38" s="58" t="b">
        <v>0</v>
      </c>
      <c r="AA38" s="58" t="b">
        <v>0</v>
      </c>
      <c r="AB38" s="58" t="b">
        <v>0</v>
      </c>
      <c r="AC38" s="58" t="b">
        <v>0</v>
      </c>
      <c r="AD38" s="58" t="b">
        <v>0</v>
      </c>
      <c r="AE38" s="58" t="b">
        <v>0</v>
      </c>
      <c r="AF38" s="58" t="b">
        <v>0</v>
      </c>
      <c r="AG38" s="58" t="b">
        <v>0</v>
      </c>
      <c r="AH38" s="58" t="b">
        <v>0</v>
      </c>
      <c r="AI38" s="58" t="b">
        <v>0</v>
      </c>
      <c r="AJ38" s="58" t="b">
        <v>1</v>
      </c>
      <c r="AK38" s="58" t="b">
        <v>1</v>
      </c>
      <c r="AL38" s="58" t="b">
        <v>1</v>
      </c>
      <c r="AM38" s="58" t="b">
        <v>1</v>
      </c>
      <c r="AN38" s="58" t="b">
        <v>1</v>
      </c>
      <c r="AO38" s="58" t="b">
        <v>1</v>
      </c>
      <c r="AP38" s="41"/>
      <c r="AQ38" s="54">
        <f t="shared" si="4"/>
        <v>6</v>
      </c>
    </row>
    <row r="39">
      <c r="A39" s="41" t="s">
        <v>320</v>
      </c>
      <c r="B39" s="41" t="s">
        <v>321</v>
      </c>
      <c r="C39" s="57" t="s">
        <v>322</v>
      </c>
      <c r="D39" s="41" t="s">
        <v>22</v>
      </c>
      <c r="E39" s="37">
        <f t="shared" si="1"/>
        <v>33</v>
      </c>
      <c r="F39" s="37">
        <f t="shared" si="2"/>
        <v>22</v>
      </c>
      <c r="G39" s="55">
        <f t="shared" si="3"/>
        <v>66.66666667</v>
      </c>
      <c r="H39" s="41"/>
      <c r="I39" s="58" t="b">
        <v>1</v>
      </c>
      <c r="J39" s="58" t="b">
        <v>1</v>
      </c>
      <c r="K39" s="58" t="b">
        <v>1</v>
      </c>
      <c r="L39" s="58" t="b">
        <v>1</v>
      </c>
      <c r="M39" s="58" t="b">
        <v>1</v>
      </c>
      <c r="N39" s="58" t="b">
        <v>1</v>
      </c>
      <c r="O39" s="58" t="b">
        <v>0</v>
      </c>
      <c r="P39" s="58" t="b">
        <v>0</v>
      </c>
      <c r="Q39" s="58" t="b">
        <v>0</v>
      </c>
      <c r="R39" s="58" t="b">
        <v>0</v>
      </c>
      <c r="S39" s="58" t="b">
        <v>0</v>
      </c>
      <c r="T39" s="58" t="b">
        <v>0</v>
      </c>
      <c r="U39" s="58" t="b">
        <v>0</v>
      </c>
      <c r="V39" s="58" t="b">
        <v>1</v>
      </c>
      <c r="W39" s="58" t="b">
        <v>0</v>
      </c>
      <c r="X39" s="58" t="b">
        <v>1</v>
      </c>
      <c r="Y39" s="58" t="b">
        <v>1</v>
      </c>
      <c r="Z39" s="58" t="b">
        <v>0</v>
      </c>
      <c r="AA39" s="58" t="b">
        <v>1</v>
      </c>
      <c r="AB39" s="58" t="b">
        <v>1</v>
      </c>
      <c r="AC39" s="58" t="b">
        <v>1</v>
      </c>
      <c r="AD39" s="58" t="b">
        <v>1</v>
      </c>
      <c r="AE39" s="58" t="b">
        <v>0</v>
      </c>
      <c r="AF39" s="58" t="b">
        <v>1</v>
      </c>
      <c r="AG39" s="58" t="b">
        <v>1</v>
      </c>
      <c r="AH39" s="58" t="b">
        <v>0</v>
      </c>
      <c r="AI39" s="58" t="b">
        <v>1</v>
      </c>
      <c r="AJ39" s="58" t="b">
        <v>1</v>
      </c>
      <c r="AK39" s="58" t="b">
        <v>1</v>
      </c>
      <c r="AL39" s="58" t="b">
        <v>1</v>
      </c>
      <c r="AM39" s="58" t="b">
        <v>1</v>
      </c>
      <c r="AN39" s="58" t="b">
        <v>1</v>
      </c>
      <c r="AO39" s="58" t="b">
        <v>1</v>
      </c>
      <c r="AP39" s="41"/>
      <c r="AQ39" s="54">
        <f t="shared" si="4"/>
        <v>8</v>
      </c>
    </row>
    <row r="40">
      <c r="A40" s="41" t="s">
        <v>323</v>
      </c>
      <c r="B40" s="41" t="s">
        <v>324</v>
      </c>
      <c r="C40" s="57" t="s">
        <v>325</v>
      </c>
      <c r="D40" s="41" t="s">
        <v>22</v>
      </c>
      <c r="E40" s="37">
        <f t="shared" si="1"/>
        <v>33</v>
      </c>
      <c r="F40" s="37">
        <f t="shared" si="2"/>
        <v>28</v>
      </c>
      <c r="G40" s="52">
        <f t="shared" si="3"/>
        <v>84.84848485</v>
      </c>
      <c r="H40" s="41"/>
      <c r="I40" s="58" t="b">
        <v>1</v>
      </c>
      <c r="J40" s="58" t="b">
        <v>1</v>
      </c>
      <c r="K40" s="58" t="b">
        <v>1</v>
      </c>
      <c r="L40" s="58" t="b">
        <v>1</v>
      </c>
      <c r="M40" s="58" t="b">
        <v>1</v>
      </c>
      <c r="N40" s="58" t="b">
        <v>1</v>
      </c>
      <c r="O40" s="58" t="b">
        <v>1</v>
      </c>
      <c r="P40" s="58" t="b">
        <v>1</v>
      </c>
      <c r="Q40" s="58" t="b">
        <v>0</v>
      </c>
      <c r="R40" s="58" t="b">
        <v>0</v>
      </c>
      <c r="S40" s="58" t="b">
        <v>1</v>
      </c>
      <c r="T40" s="58" t="b">
        <v>1</v>
      </c>
      <c r="U40" s="58" t="b">
        <v>1</v>
      </c>
      <c r="V40" s="58" t="b">
        <v>1</v>
      </c>
      <c r="W40" s="58" t="b">
        <v>1</v>
      </c>
      <c r="X40" s="58" t="b">
        <v>1</v>
      </c>
      <c r="Y40" s="58" t="b">
        <v>1</v>
      </c>
      <c r="Z40" s="58" t="b">
        <v>1</v>
      </c>
      <c r="AA40" s="58" t="b">
        <v>1</v>
      </c>
      <c r="AB40" s="58" t="b">
        <v>0</v>
      </c>
      <c r="AC40" s="58" t="b">
        <v>1</v>
      </c>
      <c r="AD40" s="58" t="b">
        <v>1</v>
      </c>
      <c r="AE40" s="58" t="b">
        <v>1</v>
      </c>
      <c r="AF40" s="58" t="b">
        <v>1</v>
      </c>
      <c r="AG40" s="58" t="b">
        <v>1</v>
      </c>
      <c r="AH40" s="58" t="b">
        <v>1</v>
      </c>
      <c r="AI40" s="58" t="b">
        <v>1</v>
      </c>
      <c r="AJ40" s="58" t="b">
        <v>1</v>
      </c>
      <c r="AK40" s="58" t="b">
        <v>0</v>
      </c>
      <c r="AL40" s="58" t="b">
        <v>0</v>
      </c>
      <c r="AM40" s="58" t="b">
        <v>1</v>
      </c>
      <c r="AN40" s="58" t="b">
        <v>1</v>
      </c>
      <c r="AO40" s="58" t="b">
        <v>1</v>
      </c>
      <c r="AP40" s="41"/>
      <c r="AQ40" s="54">
        <f t="shared" si="4"/>
        <v>7</v>
      </c>
    </row>
    <row r="41">
      <c r="A41" s="41" t="s">
        <v>326</v>
      </c>
      <c r="B41" s="41" t="s">
        <v>327</v>
      </c>
      <c r="C41" s="57" t="s">
        <v>328</v>
      </c>
      <c r="D41" s="41" t="s">
        <v>22</v>
      </c>
      <c r="E41" s="37">
        <f t="shared" si="1"/>
        <v>32</v>
      </c>
      <c r="F41" s="37">
        <f t="shared" si="2"/>
        <v>30</v>
      </c>
      <c r="G41" s="52">
        <f t="shared" si="3"/>
        <v>93.75</v>
      </c>
      <c r="H41" s="41"/>
      <c r="I41" s="58" t="b">
        <v>1</v>
      </c>
      <c r="J41" s="58" t="b">
        <v>1</v>
      </c>
      <c r="K41" s="58" t="b">
        <v>1</v>
      </c>
      <c r="L41" s="58" t="b">
        <v>1</v>
      </c>
      <c r="M41" s="58" t="b">
        <v>1</v>
      </c>
      <c r="N41" s="58" t="b">
        <v>1</v>
      </c>
      <c r="O41" s="58" t="b">
        <v>1</v>
      </c>
      <c r="P41" s="58" t="b">
        <v>1</v>
      </c>
      <c r="Q41" s="58" t="b">
        <v>1</v>
      </c>
      <c r="R41" s="58" t="b">
        <v>1</v>
      </c>
      <c r="S41" s="58" t="b">
        <v>1</v>
      </c>
      <c r="T41" s="58" t="b">
        <v>1</v>
      </c>
      <c r="U41" s="58" t="b">
        <v>1</v>
      </c>
      <c r="V41" s="58" t="b">
        <v>1</v>
      </c>
      <c r="W41" s="58" t="b">
        <v>1</v>
      </c>
      <c r="X41" s="58" t="b">
        <v>1</v>
      </c>
      <c r="Y41" s="58" t="b">
        <v>1</v>
      </c>
      <c r="Z41" s="58" t="b">
        <v>1</v>
      </c>
      <c r="AA41" s="58" t="b">
        <v>1</v>
      </c>
      <c r="AB41" s="58" t="b">
        <v>1</v>
      </c>
      <c r="AC41" s="58" t="b">
        <v>1</v>
      </c>
      <c r="AD41" s="58" t="b">
        <v>1</v>
      </c>
      <c r="AE41" s="58" t="b">
        <v>0</v>
      </c>
      <c r="AF41" s="58" t="b">
        <v>1</v>
      </c>
      <c r="AG41" s="58" t="b">
        <v>1</v>
      </c>
      <c r="AH41" s="58" t="b">
        <v>1</v>
      </c>
      <c r="AI41" s="58" t="b">
        <v>0</v>
      </c>
      <c r="AJ41" s="58" t="b">
        <v>1</v>
      </c>
      <c r="AK41" s="58" t="b">
        <v>1</v>
      </c>
      <c r="AL41" s="58" t="b">
        <v>1</v>
      </c>
      <c r="AM41" s="58" t="b">
        <v>1</v>
      </c>
      <c r="AN41" s="58" t="b">
        <v>1</v>
      </c>
      <c r="AO41" s="41"/>
      <c r="AP41" s="41"/>
      <c r="AQ41" s="54">
        <f t="shared" si="4"/>
        <v>7</v>
      </c>
    </row>
    <row r="42">
      <c r="A42" s="41" t="s">
        <v>329</v>
      </c>
      <c r="B42" s="41" t="s">
        <v>330</v>
      </c>
      <c r="C42" s="57" t="s">
        <v>331</v>
      </c>
      <c r="D42" s="41" t="s">
        <v>22</v>
      </c>
      <c r="E42" s="37">
        <f t="shared" si="1"/>
        <v>33</v>
      </c>
      <c r="F42" s="37">
        <f t="shared" si="2"/>
        <v>24</v>
      </c>
      <c r="G42" s="52">
        <f t="shared" si="3"/>
        <v>72.72727273</v>
      </c>
      <c r="H42" s="41"/>
      <c r="I42" s="58" t="b">
        <v>1</v>
      </c>
      <c r="J42" s="58" t="b">
        <v>0</v>
      </c>
      <c r="K42" s="58" t="b">
        <v>1</v>
      </c>
      <c r="L42" s="58" t="b">
        <v>1</v>
      </c>
      <c r="M42" s="58" t="b">
        <v>1</v>
      </c>
      <c r="N42" s="58" t="b">
        <v>1</v>
      </c>
      <c r="O42" s="58" t="b">
        <v>1</v>
      </c>
      <c r="P42" s="58" t="b">
        <v>1</v>
      </c>
      <c r="Q42" s="58" t="b">
        <v>1</v>
      </c>
      <c r="R42" s="58" t="b">
        <v>1</v>
      </c>
      <c r="S42" s="58" t="b">
        <v>1</v>
      </c>
      <c r="T42" s="58" t="b">
        <v>1</v>
      </c>
      <c r="U42" s="58" t="b">
        <v>0</v>
      </c>
      <c r="V42" s="58" t="b">
        <v>0</v>
      </c>
      <c r="W42" s="58" t="b">
        <v>1</v>
      </c>
      <c r="X42" s="58" t="b">
        <v>1</v>
      </c>
      <c r="Y42" s="58" t="b">
        <v>0</v>
      </c>
      <c r="Z42" s="58" t="b">
        <v>1</v>
      </c>
      <c r="AA42" s="58" t="b">
        <v>1</v>
      </c>
      <c r="AB42" s="58" t="b">
        <v>0</v>
      </c>
      <c r="AC42" s="58" t="b">
        <v>0</v>
      </c>
      <c r="AD42" s="58" t="b">
        <v>0</v>
      </c>
      <c r="AE42" s="58" t="b">
        <v>1</v>
      </c>
      <c r="AF42" s="58" t="b">
        <v>1</v>
      </c>
      <c r="AG42" s="58" t="b">
        <v>0</v>
      </c>
      <c r="AH42" s="58" t="b">
        <v>0</v>
      </c>
      <c r="AI42" s="58" t="b">
        <v>1</v>
      </c>
      <c r="AJ42" s="58" t="b">
        <v>1</v>
      </c>
      <c r="AK42" s="58" t="b">
        <v>1</v>
      </c>
      <c r="AL42" s="58" t="b">
        <v>1</v>
      </c>
      <c r="AM42" s="58" t="b">
        <v>1</v>
      </c>
      <c r="AN42" s="58" t="b">
        <v>1</v>
      </c>
      <c r="AO42" s="58" t="b">
        <v>1</v>
      </c>
      <c r="AP42" s="41"/>
      <c r="AQ42" s="54">
        <f t="shared" si="4"/>
        <v>7</v>
      </c>
    </row>
    <row r="43">
      <c r="A43" s="41" t="s">
        <v>332</v>
      </c>
      <c r="B43" s="41" t="s">
        <v>333</v>
      </c>
      <c r="C43" s="57" t="s">
        <v>334</v>
      </c>
      <c r="D43" s="41" t="s">
        <v>22</v>
      </c>
      <c r="E43" s="37">
        <f t="shared" si="1"/>
        <v>33</v>
      </c>
      <c r="F43" s="37">
        <f t="shared" si="2"/>
        <v>26</v>
      </c>
      <c r="G43" s="52">
        <f t="shared" si="3"/>
        <v>78.78787879</v>
      </c>
      <c r="H43" s="41"/>
      <c r="I43" s="58" t="b">
        <v>0</v>
      </c>
      <c r="J43" s="58" t="b">
        <v>1</v>
      </c>
      <c r="K43" s="58" t="b">
        <v>0</v>
      </c>
      <c r="L43" s="58" t="b">
        <v>1</v>
      </c>
      <c r="M43" s="58" t="b">
        <v>1</v>
      </c>
      <c r="N43" s="58" t="b">
        <v>1</v>
      </c>
      <c r="O43" s="58" t="b">
        <v>1</v>
      </c>
      <c r="P43" s="58" t="b">
        <v>1</v>
      </c>
      <c r="Q43" s="58" t="b">
        <v>1</v>
      </c>
      <c r="R43" s="58" t="b">
        <v>0</v>
      </c>
      <c r="S43" s="58" t="b">
        <v>1</v>
      </c>
      <c r="T43" s="58" t="b">
        <v>0</v>
      </c>
      <c r="U43" s="58" t="b">
        <v>0</v>
      </c>
      <c r="V43" s="58" t="b">
        <v>1</v>
      </c>
      <c r="W43" s="58" t="b">
        <v>0</v>
      </c>
      <c r="X43" s="58" t="b">
        <v>0</v>
      </c>
      <c r="Y43" s="58" t="b">
        <v>1</v>
      </c>
      <c r="Z43" s="58" t="b">
        <v>1</v>
      </c>
      <c r="AA43" s="58" t="b">
        <v>1</v>
      </c>
      <c r="AB43" s="58" t="b">
        <v>1</v>
      </c>
      <c r="AC43" s="58" t="b">
        <v>1</v>
      </c>
      <c r="AD43" s="58" t="b">
        <v>1</v>
      </c>
      <c r="AE43" s="58" t="b">
        <v>1</v>
      </c>
      <c r="AF43" s="58" t="b">
        <v>1</v>
      </c>
      <c r="AG43" s="58" t="b">
        <v>1</v>
      </c>
      <c r="AH43" s="58" t="b">
        <v>1</v>
      </c>
      <c r="AI43" s="58" t="b">
        <v>1</v>
      </c>
      <c r="AJ43" s="58" t="b">
        <v>1</v>
      </c>
      <c r="AK43" s="58" t="b">
        <v>1</v>
      </c>
      <c r="AL43" s="58" t="b">
        <v>1</v>
      </c>
      <c r="AM43" s="58" t="b">
        <v>1</v>
      </c>
      <c r="AN43" s="58" t="b">
        <v>1</v>
      </c>
      <c r="AO43" s="58" t="b">
        <v>1</v>
      </c>
      <c r="AP43" s="41"/>
      <c r="AQ43" s="54">
        <f t="shared" si="4"/>
        <v>9</v>
      </c>
    </row>
    <row r="44">
      <c r="A44" s="60" t="s">
        <v>335</v>
      </c>
      <c r="B44" s="60" t="s">
        <v>336</v>
      </c>
      <c r="C44" s="61" t="s">
        <v>337</v>
      </c>
      <c r="D44" s="60" t="s">
        <v>83</v>
      </c>
      <c r="E44" s="62">
        <f t="shared" si="1"/>
        <v>33</v>
      </c>
      <c r="F44" s="62">
        <f t="shared" si="2"/>
        <v>24</v>
      </c>
      <c r="G44" s="52">
        <f t="shared" si="3"/>
        <v>72.72727273</v>
      </c>
      <c r="H44" s="60"/>
      <c r="I44" s="63" t="b">
        <v>1</v>
      </c>
      <c r="J44" s="63" t="b">
        <v>1</v>
      </c>
      <c r="K44" s="63" t="b">
        <v>1</v>
      </c>
      <c r="L44" s="63" t="b">
        <v>0</v>
      </c>
      <c r="M44" s="63" t="b">
        <v>0</v>
      </c>
      <c r="N44" s="63" t="b">
        <v>1</v>
      </c>
      <c r="O44" s="63" t="b">
        <v>0</v>
      </c>
      <c r="P44" s="63" t="b">
        <v>0</v>
      </c>
      <c r="Q44" s="63" t="b">
        <v>1</v>
      </c>
      <c r="R44" s="63" t="b">
        <v>1</v>
      </c>
      <c r="S44" s="63" t="b">
        <v>0</v>
      </c>
      <c r="T44" s="63" t="b">
        <v>1</v>
      </c>
      <c r="U44" s="63" t="b">
        <v>0</v>
      </c>
      <c r="V44" s="63" t="b">
        <v>0</v>
      </c>
      <c r="W44" s="63" t="b">
        <v>1</v>
      </c>
      <c r="X44" s="63" t="b">
        <v>1</v>
      </c>
      <c r="Y44" s="63" t="b">
        <v>0</v>
      </c>
      <c r="Z44" s="63" t="b">
        <v>0</v>
      </c>
      <c r="AA44" s="63" t="b">
        <v>1</v>
      </c>
      <c r="AB44" s="63" t="b">
        <v>1</v>
      </c>
      <c r="AC44" s="63" t="b">
        <v>1</v>
      </c>
      <c r="AD44" s="63" t="b">
        <v>1</v>
      </c>
      <c r="AE44" s="63" t="b">
        <v>1</v>
      </c>
      <c r="AF44" s="63" t="b">
        <v>1</v>
      </c>
      <c r="AG44" s="63" t="b">
        <v>1</v>
      </c>
      <c r="AH44" s="63" t="b">
        <v>1</v>
      </c>
      <c r="AI44" s="63" t="b">
        <v>1</v>
      </c>
      <c r="AJ44" s="63" t="b">
        <v>1</v>
      </c>
      <c r="AK44" s="63" t="b">
        <v>1</v>
      </c>
      <c r="AL44" s="63" t="b">
        <v>1</v>
      </c>
      <c r="AM44" s="63" t="b">
        <v>1</v>
      </c>
      <c r="AN44" s="63" t="b">
        <v>1</v>
      </c>
      <c r="AO44" s="63" t="b">
        <v>1</v>
      </c>
      <c r="AP44" s="60"/>
      <c r="AQ44" s="54">
        <f t="shared" si="4"/>
        <v>9</v>
      </c>
    </row>
    <row r="45">
      <c r="A45" s="60" t="s">
        <v>338</v>
      </c>
      <c r="B45" s="60" t="s">
        <v>339</v>
      </c>
      <c r="C45" s="61" t="s">
        <v>340</v>
      </c>
      <c r="D45" s="60" t="s">
        <v>83</v>
      </c>
      <c r="E45" s="62">
        <f t="shared" si="1"/>
        <v>33</v>
      </c>
      <c r="F45" s="62">
        <f t="shared" si="2"/>
        <v>29</v>
      </c>
      <c r="G45" s="52">
        <f t="shared" si="3"/>
        <v>87.87878788</v>
      </c>
      <c r="H45" s="60"/>
      <c r="I45" s="63" t="b">
        <v>1</v>
      </c>
      <c r="J45" s="63" t="b">
        <v>1</v>
      </c>
      <c r="K45" s="63" t="b">
        <v>0</v>
      </c>
      <c r="L45" s="63" t="b">
        <v>0</v>
      </c>
      <c r="M45" s="63" t="b">
        <v>1</v>
      </c>
      <c r="N45" s="63" t="b">
        <v>1</v>
      </c>
      <c r="O45" s="63" t="b">
        <v>1</v>
      </c>
      <c r="P45" s="63" t="b">
        <v>1</v>
      </c>
      <c r="Q45" s="63" t="b">
        <v>1</v>
      </c>
      <c r="R45" s="63" t="b">
        <v>0</v>
      </c>
      <c r="S45" s="63" t="b">
        <v>1</v>
      </c>
      <c r="T45" s="63" t="b">
        <v>1</v>
      </c>
      <c r="U45" s="63" t="b">
        <v>1</v>
      </c>
      <c r="V45" s="63" t="b">
        <v>1</v>
      </c>
      <c r="W45" s="63" t="b">
        <v>1</v>
      </c>
      <c r="X45" s="63" t="b">
        <v>1</v>
      </c>
      <c r="Y45" s="63" t="b">
        <v>1</v>
      </c>
      <c r="Z45" s="63" t="b">
        <v>0</v>
      </c>
      <c r="AA45" s="63" t="b">
        <v>1</v>
      </c>
      <c r="AB45" s="63" t="b">
        <v>1</v>
      </c>
      <c r="AC45" s="63" t="b">
        <v>1</v>
      </c>
      <c r="AD45" s="63" t="b">
        <v>1</v>
      </c>
      <c r="AE45" s="63" t="b">
        <v>1</v>
      </c>
      <c r="AF45" s="63" t="b">
        <v>1</v>
      </c>
      <c r="AG45" s="63" t="b">
        <v>1</v>
      </c>
      <c r="AH45" s="63" t="b">
        <v>1</v>
      </c>
      <c r="AI45" s="63" t="b">
        <v>1</v>
      </c>
      <c r="AJ45" s="63" t="b">
        <v>1</v>
      </c>
      <c r="AK45" s="63" t="b">
        <v>1</v>
      </c>
      <c r="AL45" s="63" t="b">
        <v>1</v>
      </c>
      <c r="AM45" s="63" t="b">
        <v>1</v>
      </c>
      <c r="AN45" s="63" t="b">
        <v>1</v>
      </c>
      <c r="AO45" s="63" t="b">
        <v>1</v>
      </c>
      <c r="AP45" s="60"/>
      <c r="AQ45" s="54">
        <f t="shared" si="4"/>
        <v>9</v>
      </c>
    </row>
    <row r="46">
      <c r="A46" s="60" t="s">
        <v>341</v>
      </c>
      <c r="B46" s="60" t="s">
        <v>342</v>
      </c>
      <c r="C46" s="64" t="s">
        <v>343</v>
      </c>
      <c r="D46" s="60" t="s">
        <v>83</v>
      </c>
      <c r="E46" s="62">
        <f t="shared" si="1"/>
        <v>33</v>
      </c>
      <c r="F46" s="62">
        <f t="shared" si="2"/>
        <v>26</v>
      </c>
      <c r="G46" s="52">
        <f t="shared" si="3"/>
        <v>78.78787879</v>
      </c>
      <c r="H46" s="60"/>
      <c r="I46" s="63" t="b">
        <v>1</v>
      </c>
      <c r="J46" s="63" t="b">
        <v>1</v>
      </c>
      <c r="K46" s="63" t="b">
        <v>1</v>
      </c>
      <c r="L46" s="63" t="b">
        <v>1</v>
      </c>
      <c r="M46" s="63" t="b">
        <v>1</v>
      </c>
      <c r="N46" s="63" t="b">
        <v>1</v>
      </c>
      <c r="O46" s="63" t="b">
        <v>1</v>
      </c>
      <c r="P46" s="63" t="b">
        <v>1</v>
      </c>
      <c r="Q46" s="63" t="b">
        <v>1</v>
      </c>
      <c r="R46" s="63" t="b">
        <v>1</v>
      </c>
      <c r="S46" s="63" t="b">
        <v>0</v>
      </c>
      <c r="T46" s="63" t="b">
        <v>0</v>
      </c>
      <c r="U46" s="63" t="b">
        <v>1</v>
      </c>
      <c r="V46" s="63" t="b">
        <v>1</v>
      </c>
      <c r="W46" s="63" t="b">
        <v>1</v>
      </c>
      <c r="X46" s="63" t="b">
        <v>1</v>
      </c>
      <c r="Y46" s="63" t="b">
        <v>1</v>
      </c>
      <c r="Z46" s="63" t="b">
        <v>1</v>
      </c>
      <c r="AA46" s="63" t="b">
        <v>0</v>
      </c>
      <c r="AB46" s="63" t="b">
        <v>0</v>
      </c>
      <c r="AC46" s="63" t="b">
        <v>1</v>
      </c>
      <c r="AD46" s="63" t="b">
        <v>1</v>
      </c>
      <c r="AE46" s="63" t="b">
        <v>0</v>
      </c>
      <c r="AF46" s="63" t="b">
        <v>0</v>
      </c>
      <c r="AG46" s="63" t="b">
        <v>0</v>
      </c>
      <c r="AH46" s="63" t="b">
        <v>1</v>
      </c>
      <c r="AI46" s="63" t="b">
        <v>1</v>
      </c>
      <c r="AJ46" s="63" t="b">
        <v>1</v>
      </c>
      <c r="AK46" s="63" t="b">
        <v>1</v>
      </c>
      <c r="AL46" s="63" t="b">
        <v>1</v>
      </c>
      <c r="AM46" s="63" t="b">
        <v>1</v>
      </c>
      <c r="AN46" s="63" t="b">
        <v>1</v>
      </c>
      <c r="AO46" s="63" t="b">
        <v>1</v>
      </c>
      <c r="AP46" s="60"/>
      <c r="AQ46" s="54">
        <f t="shared" si="4"/>
        <v>8</v>
      </c>
    </row>
    <row r="47">
      <c r="A47" s="60" t="s">
        <v>344</v>
      </c>
      <c r="B47" s="60" t="s">
        <v>345</v>
      </c>
      <c r="C47" s="61">
        <v>8.957858076E9</v>
      </c>
      <c r="D47" s="60" t="s">
        <v>83</v>
      </c>
      <c r="E47" s="62">
        <f t="shared" si="1"/>
        <v>33</v>
      </c>
      <c r="F47" s="62">
        <f t="shared" si="2"/>
        <v>8</v>
      </c>
      <c r="G47" s="55">
        <f t="shared" si="3"/>
        <v>24.24242424</v>
      </c>
      <c r="H47" s="60"/>
      <c r="I47" s="63" t="b">
        <v>0</v>
      </c>
      <c r="J47" s="63" t="b">
        <v>0</v>
      </c>
      <c r="K47" s="63" t="b">
        <v>0</v>
      </c>
      <c r="L47" s="63" t="b">
        <v>0</v>
      </c>
      <c r="M47" s="63" t="b">
        <v>0</v>
      </c>
      <c r="N47" s="63" t="b">
        <v>0</v>
      </c>
      <c r="O47" s="63" t="b">
        <v>0</v>
      </c>
      <c r="P47" s="63" t="b">
        <v>0</v>
      </c>
      <c r="Q47" s="63" t="b">
        <v>0</v>
      </c>
      <c r="R47" s="63" t="b">
        <v>0</v>
      </c>
      <c r="S47" s="63" t="b">
        <v>0</v>
      </c>
      <c r="T47" s="63" t="b">
        <v>0</v>
      </c>
      <c r="U47" s="63" t="b">
        <v>0</v>
      </c>
      <c r="V47" s="63" t="b">
        <v>0</v>
      </c>
      <c r="W47" s="63" t="b">
        <v>0</v>
      </c>
      <c r="X47" s="63" t="b">
        <v>0</v>
      </c>
      <c r="Y47" s="63" t="b">
        <v>0</v>
      </c>
      <c r="Z47" s="63" t="b">
        <v>1</v>
      </c>
      <c r="AA47" s="63" t="b">
        <v>0</v>
      </c>
      <c r="AB47" s="63" t="b">
        <v>0</v>
      </c>
      <c r="AC47" s="63" t="b">
        <v>0</v>
      </c>
      <c r="AD47" s="63" t="b">
        <v>1</v>
      </c>
      <c r="AE47" s="63" t="b">
        <v>0</v>
      </c>
      <c r="AF47" s="63" t="b">
        <v>0</v>
      </c>
      <c r="AG47" s="63" t="b">
        <v>0</v>
      </c>
      <c r="AH47" s="63" t="b">
        <v>0</v>
      </c>
      <c r="AI47" s="63" t="b">
        <v>0</v>
      </c>
      <c r="AJ47" s="63" t="b">
        <v>1</v>
      </c>
      <c r="AK47" s="63" t="b">
        <v>1</v>
      </c>
      <c r="AL47" s="63" t="b">
        <v>1</v>
      </c>
      <c r="AM47" s="63" t="b">
        <v>1</v>
      </c>
      <c r="AN47" s="63" t="b">
        <v>1</v>
      </c>
      <c r="AO47" s="63" t="b">
        <v>1</v>
      </c>
      <c r="AP47" s="60"/>
      <c r="AQ47" s="54">
        <f t="shared" si="4"/>
        <v>6</v>
      </c>
    </row>
    <row r="48">
      <c r="A48" s="60" t="s">
        <v>346</v>
      </c>
      <c r="B48" s="60" t="s">
        <v>347</v>
      </c>
      <c r="C48" s="64" t="s">
        <v>348</v>
      </c>
      <c r="D48" s="60" t="s">
        <v>83</v>
      </c>
      <c r="E48" s="62">
        <f t="shared" si="1"/>
        <v>33</v>
      </c>
      <c r="F48" s="62">
        <f t="shared" si="2"/>
        <v>11</v>
      </c>
      <c r="G48" s="55">
        <f t="shared" si="3"/>
        <v>33.33333333</v>
      </c>
      <c r="H48" s="60"/>
      <c r="I48" s="63" t="b">
        <v>0</v>
      </c>
      <c r="J48" s="63" t="b">
        <v>0</v>
      </c>
      <c r="K48" s="63" t="b">
        <v>0</v>
      </c>
      <c r="L48" s="63" t="b">
        <v>0</v>
      </c>
      <c r="M48" s="63" t="b">
        <v>0</v>
      </c>
      <c r="N48" s="63" t="b">
        <v>0</v>
      </c>
      <c r="O48" s="63" t="b">
        <v>0</v>
      </c>
      <c r="P48" s="63" t="b">
        <v>0</v>
      </c>
      <c r="Q48" s="63" t="b">
        <v>0</v>
      </c>
      <c r="R48" s="63" t="b">
        <v>0</v>
      </c>
      <c r="S48" s="63" t="b">
        <v>0</v>
      </c>
      <c r="T48" s="63" t="b">
        <v>0</v>
      </c>
      <c r="U48" s="63" t="b">
        <v>0</v>
      </c>
      <c r="V48" s="63" t="b">
        <v>0</v>
      </c>
      <c r="W48" s="63" t="b">
        <v>0</v>
      </c>
      <c r="X48" s="63" t="b">
        <v>1</v>
      </c>
      <c r="Y48" s="63" t="b">
        <v>1</v>
      </c>
      <c r="Z48" s="63" t="b">
        <v>0</v>
      </c>
      <c r="AA48" s="63" t="b">
        <v>0</v>
      </c>
      <c r="AB48" s="63" t="b">
        <v>0</v>
      </c>
      <c r="AC48" s="63" t="b">
        <v>0</v>
      </c>
      <c r="AD48" s="63" t="b">
        <v>0</v>
      </c>
      <c r="AE48" s="63" t="b">
        <v>1</v>
      </c>
      <c r="AF48" s="63" t="b">
        <v>0</v>
      </c>
      <c r="AG48" s="63" t="b">
        <v>1</v>
      </c>
      <c r="AH48" s="63" t="b">
        <v>1</v>
      </c>
      <c r="AI48" s="63" t="b">
        <v>1</v>
      </c>
      <c r="AJ48" s="63" t="b">
        <v>1</v>
      </c>
      <c r="AK48" s="63" t="b">
        <v>1</v>
      </c>
      <c r="AL48" s="63" t="b">
        <v>0</v>
      </c>
      <c r="AM48" s="63" t="b">
        <v>1</v>
      </c>
      <c r="AN48" s="63" t="b">
        <v>1</v>
      </c>
      <c r="AO48" s="63" t="b">
        <v>1</v>
      </c>
      <c r="AP48" s="60"/>
      <c r="AQ48" s="54">
        <f t="shared" si="4"/>
        <v>8</v>
      </c>
    </row>
    <row r="49">
      <c r="A49" s="60" t="s">
        <v>349</v>
      </c>
      <c r="B49" s="60" t="s">
        <v>350</v>
      </c>
      <c r="C49" s="64" t="s">
        <v>351</v>
      </c>
      <c r="D49" s="60" t="s">
        <v>83</v>
      </c>
      <c r="E49" s="62">
        <f t="shared" si="1"/>
        <v>33</v>
      </c>
      <c r="F49" s="62">
        <f t="shared" si="2"/>
        <v>10</v>
      </c>
      <c r="G49" s="55">
        <f t="shared" si="3"/>
        <v>30.3030303</v>
      </c>
      <c r="H49" s="60"/>
      <c r="I49" s="63" t="b">
        <v>0</v>
      </c>
      <c r="J49" s="63" t="b">
        <v>0</v>
      </c>
      <c r="K49" s="63" t="b">
        <v>0</v>
      </c>
      <c r="L49" s="63" t="b">
        <v>0</v>
      </c>
      <c r="M49" s="63" t="b">
        <v>0</v>
      </c>
      <c r="N49" s="63" t="b">
        <v>0</v>
      </c>
      <c r="O49" s="63" t="b">
        <v>0</v>
      </c>
      <c r="P49" s="63" t="b">
        <v>0</v>
      </c>
      <c r="Q49" s="63" t="b">
        <v>0</v>
      </c>
      <c r="R49" s="63" t="b">
        <v>0</v>
      </c>
      <c r="S49" s="63" t="b">
        <v>0</v>
      </c>
      <c r="T49" s="63" t="b">
        <v>0</v>
      </c>
      <c r="U49" s="63" t="b">
        <v>0</v>
      </c>
      <c r="V49" s="63" t="b">
        <v>0</v>
      </c>
      <c r="W49" s="63" t="b">
        <v>0</v>
      </c>
      <c r="X49" s="63" t="b">
        <v>0</v>
      </c>
      <c r="Y49" s="63" t="b">
        <v>0</v>
      </c>
      <c r="Z49" s="63" t="b">
        <v>0</v>
      </c>
      <c r="AA49" s="63" t="b">
        <v>1</v>
      </c>
      <c r="AB49" s="63" t="b">
        <v>1</v>
      </c>
      <c r="AC49" s="63" t="b">
        <v>1</v>
      </c>
      <c r="AD49" s="63" t="b">
        <v>0</v>
      </c>
      <c r="AE49" s="63" t="b">
        <v>0</v>
      </c>
      <c r="AF49" s="63" t="b">
        <v>0</v>
      </c>
      <c r="AG49" s="63" t="b">
        <v>0</v>
      </c>
      <c r="AH49" s="63" t="b">
        <v>0</v>
      </c>
      <c r="AI49" s="63" t="b">
        <v>1</v>
      </c>
      <c r="AJ49" s="63" t="b">
        <v>1</v>
      </c>
      <c r="AK49" s="63" t="b">
        <v>1</v>
      </c>
      <c r="AL49" s="63" t="b">
        <v>1</v>
      </c>
      <c r="AM49" s="63" t="b">
        <v>1</v>
      </c>
      <c r="AN49" s="63" t="b">
        <v>1</v>
      </c>
      <c r="AO49" s="63" t="b">
        <v>1</v>
      </c>
      <c r="AP49" s="60"/>
      <c r="AQ49" s="54">
        <f t="shared" si="4"/>
        <v>7</v>
      </c>
    </row>
    <row r="50">
      <c r="A50" s="60" t="s">
        <v>352</v>
      </c>
      <c r="B50" s="60" t="s">
        <v>353</v>
      </c>
      <c r="C50" s="61" t="s">
        <v>354</v>
      </c>
      <c r="D50" s="60" t="s">
        <v>83</v>
      </c>
      <c r="E50" s="62">
        <f t="shared" si="1"/>
        <v>33</v>
      </c>
      <c r="F50" s="62">
        <f t="shared" si="2"/>
        <v>32</v>
      </c>
      <c r="G50" s="52">
        <f t="shared" si="3"/>
        <v>96.96969697</v>
      </c>
      <c r="H50" s="60"/>
      <c r="I50" s="63" t="b">
        <v>1</v>
      </c>
      <c r="J50" s="63" t="b">
        <v>1</v>
      </c>
      <c r="K50" s="63" t="b">
        <v>1</v>
      </c>
      <c r="L50" s="63" t="b">
        <v>1</v>
      </c>
      <c r="M50" s="63" t="b">
        <v>1</v>
      </c>
      <c r="N50" s="63" t="b">
        <v>1</v>
      </c>
      <c r="O50" s="63" t="b">
        <v>1</v>
      </c>
      <c r="P50" s="63" t="b">
        <v>1</v>
      </c>
      <c r="Q50" s="63" t="b">
        <v>0</v>
      </c>
      <c r="R50" s="63" t="b">
        <v>1</v>
      </c>
      <c r="S50" s="63" t="b">
        <v>1</v>
      </c>
      <c r="T50" s="63" t="b">
        <v>1</v>
      </c>
      <c r="U50" s="63" t="b">
        <v>1</v>
      </c>
      <c r="V50" s="63" t="b">
        <v>1</v>
      </c>
      <c r="W50" s="63" t="b">
        <v>1</v>
      </c>
      <c r="X50" s="63" t="b">
        <v>1</v>
      </c>
      <c r="Y50" s="63" t="b">
        <v>1</v>
      </c>
      <c r="Z50" s="63" t="b">
        <v>1</v>
      </c>
      <c r="AA50" s="63" t="b">
        <v>1</v>
      </c>
      <c r="AB50" s="63" t="b">
        <v>1</v>
      </c>
      <c r="AC50" s="63" t="b">
        <v>1</v>
      </c>
      <c r="AD50" s="63" t="b">
        <v>1</v>
      </c>
      <c r="AE50" s="63" t="b">
        <v>1</v>
      </c>
      <c r="AF50" s="63" t="b">
        <v>1</v>
      </c>
      <c r="AG50" s="63" t="b">
        <v>1</v>
      </c>
      <c r="AH50" s="63" t="b">
        <v>1</v>
      </c>
      <c r="AI50" s="63" t="b">
        <v>1</v>
      </c>
      <c r="AJ50" s="63" t="b">
        <v>1</v>
      </c>
      <c r="AK50" s="63" t="b">
        <v>1</v>
      </c>
      <c r="AL50" s="63" t="b">
        <v>1</v>
      </c>
      <c r="AM50" s="63" t="b">
        <v>1</v>
      </c>
      <c r="AN50" s="63" t="b">
        <v>1</v>
      </c>
      <c r="AO50" s="63" t="b">
        <v>1</v>
      </c>
      <c r="AP50" s="60"/>
      <c r="AQ50" s="54">
        <f t="shared" si="4"/>
        <v>9</v>
      </c>
    </row>
    <row r="51">
      <c r="A51" s="60" t="s">
        <v>355</v>
      </c>
      <c r="B51" s="60" t="s">
        <v>356</v>
      </c>
      <c r="C51" s="64" t="s">
        <v>357</v>
      </c>
      <c r="D51" s="60" t="s">
        <v>83</v>
      </c>
      <c r="E51" s="62">
        <f t="shared" si="1"/>
        <v>33</v>
      </c>
      <c r="F51" s="62">
        <f t="shared" si="2"/>
        <v>11</v>
      </c>
      <c r="G51" s="55">
        <f t="shared" si="3"/>
        <v>33.33333333</v>
      </c>
      <c r="H51" s="60"/>
      <c r="I51" s="63" t="b">
        <v>0</v>
      </c>
      <c r="J51" s="63" t="b">
        <v>0</v>
      </c>
      <c r="K51" s="63" t="b">
        <v>0</v>
      </c>
      <c r="L51" s="63" t="b">
        <v>0</v>
      </c>
      <c r="M51" s="63" t="b">
        <v>0</v>
      </c>
      <c r="N51" s="63" t="b">
        <v>0</v>
      </c>
      <c r="O51" s="63" t="b">
        <v>0</v>
      </c>
      <c r="P51" s="63" t="b">
        <v>0</v>
      </c>
      <c r="Q51" s="63" t="b">
        <v>0</v>
      </c>
      <c r="R51" s="63" t="b">
        <v>0</v>
      </c>
      <c r="S51" s="63" t="b">
        <v>0</v>
      </c>
      <c r="T51" s="63" t="b">
        <v>0</v>
      </c>
      <c r="U51" s="63" t="b">
        <v>0</v>
      </c>
      <c r="V51" s="63" t="b">
        <v>0</v>
      </c>
      <c r="W51" s="63" t="b">
        <v>0</v>
      </c>
      <c r="X51" s="63" t="b">
        <v>0</v>
      </c>
      <c r="Y51" s="63" t="b">
        <v>0</v>
      </c>
      <c r="Z51" s="63" t="b">
        <v>0</v>
      </c>
      <c r="AA51" s="63" t="b">
        <v>0</v>
      </c>
      <c r="AB51" s="63" t="b">
        <v>0</v>
      </c>
      <c r="AC51" s="63" t="b">
        <v>1</v>
      </c>
      <c r="AD51" s="63" t="b">
        <v>1</v>
      </c>
      <c r="AE51" s="63" t="b">
        <v>1</v>
      </c>
      <c r="AF51" s="63" t="b">
        <v>1</v>
      </c>
      <c r="AG51" s="63" t="b">
        <v>0</v>
      </c>
      <c r="AH51" s="63" t="b">
        <v>1</v>
      </c>
      <c r="AI51" s="63" t="b">
        <v>1</v>
      </c>
      <c r="AJ51" s="63" t="b">
        <v>0</v>
      </c>
      <c r="AK51" s="63" t="b">
        <v>1</v>
      </c>
      <c r="AL51" s="63" t="b">
        <v>1</v>
      </c>
      <c r="AM51" s="63" t="b">
        <v>1</v>
      </c>
      <c r="AN51" s="63" t="b">
        <v>1</v>
      </c>
      <c r="AO51" s="63" t="b">
        <v>1</v>
      </c>
      <c r="AP51" s="60"/>
      <c r="AQ51" s="54">
        <f t="shared" si="4"/>
        <v>7</v>
      </c>
    </row>
    <row r="52">
      <c r="A52" s="60" t="s">
        <v>358</v>
      </c>
      <c r="B52" s="60" t="s">
        <v>359</v>
      </c>
      <c r="C52" s="64" t="s">
        <v>360</v>
      </c>
      <c r="D52" s="60" t="s">
        <v>83</v>
      </c>
      <c r="E52" s="62">
        <f t="shared" si="1"/>
        <v>33</v>
      </c>
      <c r="F52" s="62">
        <f t="shared" si="2"/>
        <v>33</v>
      </c>
      <c r="G52" s="52">
        <f t="shared" si="3"/>
        <v>100</v>
      </c>
      <c r="H52" s="60"/>
      <c r="I52" s="63" t="b">
        <v>1</v>
      </c>
      <c r="J52" s="63" t="b">
        <v>1</v>
      </c>
      <c r="K52" s="63" t="b">
        <v>1</v>
      </c>
      <c r="L52" s="63" t="b">
        <v>1</v>
      </c>
      <c r="M52" s="63" t="b">
        <v>1</v>
      </c>
      <c r="N52" s="63" t="b">
        <v>1</v>
      </c>
      <c r="O52" s="63" t="b">
        <v>1</v>
      </c>
      <c r="P52" s="63" t="b">
        <v>1</v>
      </c>
      <c r="Q52" s="63" t="b">
        <v>1</v>
      </c>
      <c r="R52" s="63" t="b">
        <v>1</v>
      </c>
      <c r="S52" s="63" t="b">
        <v>1</v>
      </c>
      <c r="T52" s="63" t="b">
        <v>1</v>
      </c>
      <c r="U52" s="63" t="b">
        <v>1</v>
      </c>
      <c r="V52" s="63" t="b">
        <v>1</v>
      </c>
      <c r="W52" s="63" t="b">
        <v>1</v>
      </c>
      <c r="X52" s="63" t="b">
        <v>1</v>
      </c>
      <c r="Y52" s="63" t="b">
        <v>1</v>
      </c>
      <c r="Z52" s="63" t="b">
        <v>1</v>
      </c>
      <c r="AA52" s="63" t="b">
        <v>1</v>
      </c>
      <c r="AB52" s="63" t="b">
        <v>1</v>
      </c>
      <c r="AC52" s="63" t="b">
        <v>1</v>
      </c>
      <c r="AD52" s="63" t="b">
        <v>1</v>
      </c>
      <c r="AE52" s="63" t="b">
        <v>1</v>
      </c>
      <c r="AF52" s="63" t="b">
        <v>1</v>
      </c>
      <c r="AG52" s="63" t="b">
        <v>1</v>
      </c>
      <c r="AH52" s="63" t="b">
        <v>1</v>
      </c>
      <c r="AI52" s="63" t="b">
        <v>1</v>
      </c>
      <c r="AJ52" s="63" t="b">
        <v>1</v>
      </c>
      <c r="AK52" s="63" t="b">
        <v>1</v>
      </c>
      <c r="AL52" s="63" t="b">
        <v>1</v>
      </c>
      <c r="AM52" s="63" t="b">
        <v>1</v>
      </c>
      <c r="AN52" s="63" t="b">
        <v>1</v>
      </c>
      <c r="AO52" s="63" t="b">
        <v>1</v>
      </c>
      <c r="AP52" s="60"/>
      <c r="AQ52" s="54">
        <f t="shared" si="4"/>
        <v>9</v>
      </c>
    </row>
    <row r="53">
      <c r="A53" s="60" t="s">
        <v>361</v>
      </c>
      <c r="B53" s="60" t="s">
        <v>362</v>
      </c>
      <c r="C53" s="61">
        <v>7.080806898E9</v>
      </c>
      <c r="D53" s="60" t="s">
        <v>83</v>
      </c>
      <c r="E53" s="62">
        <f t="shared" si="1"/>
        <v>33</v>
      </c>
      <c r="F53" s="62">
        <f t="shared" si="2"/>
        <v>14</v>
      </c>
      <c r="G53" s="55">
        <f t="shared" si="3"/>
        <v>42.42424242</v>
      </c>
      <c r="H53" s="60"/>
      <c r="I53" s="63" t="b">
        <v>0</v>
      </c>
      <c r="J53" s="63" t="b">
        <v>0</v>
      </c>
      <c r="K53" s="63" t="b">
        <v>1</v>
      </c>
      <c r="L53" s="63" t="b">
        <v>0</v>
      </c>
      <c r="M53" s="63" t="b">
        <v>1</v>
      </c>
      <c r="N53" s="63" t="b">
        <v>0</v>
      </c>
      <c r="O53" s="63" t="b">
        <v>0</v>
      </c>
      <c r="P53" s="63" t="b">
        <v>0</v>
      </c>
      <c r="Q53" s="63" t="b">
        <v>0</v>
      </c>
      <c r="R53" s="63" t="b">
        <v>0</v>
      </c>
      <c r="S53" s="63" t="b">
        <v>0</v>
      </c>
      <c r="T53" s="63" t="b">
        <v>0</v>
      </c>
      <c r="U53" s="63" t="b">
        <v>1</v>
      </c>
      <c r="V53" s="63" t="b">
        <v>0</v>
      </c>
      <c r="W53" s="63" t="b">
        <v>0</v>
      </c>
      <c r="X53" s="63" t="b">
        <v>0</v>
      </c>
      <c r="Y53" s="63" t="b">
        <v>1</v>
      </c>
      <c r="Z53" s="63" t="b">
        <v>1</v>
      </c>
      <c r="AA53" s="63" t="b">
        <v>0</v>
      </c>
      <c r="AB53" s="63" t="b">
        <v>0</v>
      </c>
      <c r="AC53" s="63" t="b">
        <v>0</v>
      </c>
      <c r="AD53" s="63" t="b">
        <v>0</v>
      </c>
      <c r="AE53" s="63" t="b">
        <v>1</v>
      </c>
      <c r="AF53" s="63" t="b">
        <v>0</v>
      </c>
      <c r="AG53" s="63" t="b">
        <v>1</v>
      </c>
      <c r="AH53" s="63" t="b">
        <v>0</v>
      </c>
      <c r="AI53" s="63" t="b">
        <v>1</v>
      </c>
      <c r="AJ53" s="63" t="b">
        <v>1</v>
      </c>
      <c r="AK53" s="63" t="b">
        <v>1</v>
      </c>
      <c r="AL53" s="63" t="b">
        <v>1</v>
      </c>
      <c r="AM53" s="63" t="b">
        <v>1</v>
      </c>
      <c r="AN53" s="63" t="b">
        <v>1</v>
      </c>
      <c r="AO53" s="63" t="b">
        <v>1</v>
      </c>
      <c r="AP53" s="60"/>
      <c r="AQ53" s="54">
        <f t="shared" si="4"/>
        <v>8</v>
      </c>
    </row>
    <row r="54">
      <c r="A54" s="60" t="s">
        <v>363</v>
      </c>
      <c r="B54" s="60" t="s">
        <v>364</v>
      </c>
      <c r="C54" s="64" t="s">
        <v>365</v>
      </c>
      <c r="D54" s="60" t="s">
        <v>83</v>
      </c>
      <c r="E54" s="62">
        <f t="shared" si="1"/>
        <v>33</v>
      </c>
      <c r="F54" s="62">
        <f t="shared" si="2"/>
        <v>29</v>
      </c>
      <c r="G54" s="52">
        <f t="shared" si="3"/>
        <v>87.87878788</v>
      </c>
      <c r="H54" s="60"/>
      <c r="I54" s="63" t="b">
        <v>1</v>
      </c>
      <c r="J54" s="63" t="b">
        <v>1</v>
      </c>
      <c r="K54" s="63" t="b">
        <v>1</v>
      </c>
      <c r="L54" s="63" t="b">
        <v>1</v>
      </c>
      <c r="M54" s="63" t="b">
        <v>1</v>
      </c>
      <c r="N54" s="63" t="b">
        <v>1</v>
      </c>
      <c r="O54" s="63" t="b">
        <v>1</v>
      </c>
      <c r="P54" s="63" t="b">
        <v>1</v>
      </c>
      <c r="Q54" s="63" t="b">
        <v>1</v>
      </c>
      <c r="R54" s="63" t="b">
        <v>1</v>
      </c>
      <c r="S54" s="63" t="b">
        <v>1</v>
      </c>
      <c r="T54" s="63" t="b">
        <v>1</v>
      </c>
      <c r="U54" s="63" t="b">
        <v>1</v>
      </c>
      <c r="V54" s="63" t="b">
        <v>1</v>
      </c>
      <c r="W54" s="63" t="b">
        <v>0</v>
      </c>
      <c r="X54" s="63" t="b">
        <v>0</v>
      </c>
      <c r="Y54" s="63" t="b">
        <v>1</v>
      </c>
      <c r="Z54" s="63" t="b">
        <v>1</v>
      </c>
      <c r="AA54" s="63" t="b">
        <v>1</v>
      </c>
      <c r="AB54" s="63" t="b">
        <v>1</v>
      </c>
      <c r="AC54" s="63" t="b">
        <v>1</v>
      </c>
      <c r="AD54" s="63" t="b">
        <v>1</v>
      </c>
      <c r="AE54" s="63" t="b">
        <v>0</v>
      </c>
      <c r="AF54" s="63" t="b">
        <v>1</v>
      </c>
      <c r="AG54" s="63" t="b">
        <v>0</v>
      </c>
      <c r="AH54" s="63" t="b">
        <v>1</v>
      </c>
      <c r="AI54" s="63" t="b">
        <v>1</v>
      </c>
      <c r="AJ54" s="63" t="b">
        <v>1</v>
      </c>
      <c r="AK54" s="63" t="b">
        <v>1</v>
      </c>
      <c r="AL54" s="63" t="b">
        <v>1</v>
      </c>
      <c r="AM54" s="63" t="b">
        <v>1</v>
      </c>
      <c r="AN54" s="63" t="b">
        <v>1</v>
      </c>
      <c r="AO54" s="63" t="b">
        <v>1</v>
      </c>
      <c r="AP54" s="60"/>
      <c r="AQ54" s="54">
        <f t="shared" si="4"/>
        <v>8</v>
      </c>
    </row>
    <row r="55">
      <c r="A55" s="60" t="s">
        <v>366</v>
      </c>
      <c r="B55" s="60" t="s">
        <v>367</v>
      </c>
      <c r="C55" s="64" t="s">
        <v>368</v>
      </c>
      <c r="D55" s="60" t="s">
        <v>83</v>
      </c>
      <c r="E55" s="62">
        <f t="shared" si="1"/>
        <v>33</v>
      </c>
      <c r="F55" s="62">
        <f t="shared" si="2"/>
        <v>27</v>
      </c>
      <c r="G55" s="52">
        <f t="shared" si="3"/>
        <v>81.81818182</v>
      </c>
      <c r="H55" s="60"/>
      <c r="I55" s="63" t="b">
        <v>0</v>
      </c>
      <c r="J55" s="63" t="b">
        <v>1</v>
      </c>
      <c r="K55" s="63" t="b">
        <v>1</v>
      </c>
      <c r="L55" s="63" t="b">
        <v>1</v>
      </c>
      <c r="M55" s="63" t="b">
        <v>1</v>
      </c>
      <c r="N55" s="63" t="b">
        <v>1</v>
      </c>
      <c r="O55" s="63" t="b">
        <v>1</v>
      </c>
      <c r="P55" s="63" t="b">
        <v>1</v>
      </c>
      <c r="Q55" s="63" t="b">
        <v>0</v>
      </c>
      <c r="R55" s="63" t="b">
        <v>1</v>
      </c>
      <c r="S55" s="63" t="b">
        <v>1</v>
      </c>
      <c r="T55" s="63" t="b">
        <v>1</v>
      </c>
      <c r="U55" s="63" t="b">
        <v>1</v>
      </c>
      <c r="V55" s="63" t="b">
        <v>1</v>
      </c>
      <c r="W55" s="63" t="b">
        <v>1</v>
      </c>
      <c r="X55" s="63" t="b">
        <v>1</v>
      </c>
      <c r="Y55" s="63" t="b">
        <v>1</v>
      </c>
      <c r="Z55" s="63" t="b">
        <v>0</v>
      </c>
      <c r="AA55" s="63" t="b">
        <v>1</v>
      </c>
      <c r="AB55" s="63" t="b">
        <v>1</v>
      </c>
      <c r="AC55" s="63" t="b">
        <v>1</v>
      </c>
      <c r="AD55" s="63" t="b">
        <v>1</v>
      </c>
      <c r="AE55" s="63" t="b">
        <v>0</v>
      </c>
      <c r="AF55" s="63" t="b">
        <v>0</v>
      </c>
      <c r="AG55" s="63" t="b">
        <v>1</v>
      </c>
      <c r="AH55" s="63" t="b">
        <v>1</v>
      </c>
      <c r="AI55" s="63" t="b">
        <v>1</v>
      </c>
      <c r="AJ55" s="63" t="b">
        <v>1</v>
      </c>
      <c r="AK55" s="63" t="b">
        <v>1</v>
      </c>
      <c r="AL55" s="63" t="b">
        <v>1</v>
      </c>
      <c r="AM55" s="63" t="b">
        <v>1</v>
      </c>
      <c r="AN55" s="63" t="b">
        <v>0</v>
      </c>
      <c r="AO55" s="63" t="b">
        <v>1</v>
      </c>
      <c r="AP55" s="60"/>
      <c r="AQ55" s="54">
        <f t="shared" si="4"/>
        <v>8</v>
      </c>
    </row>
    <row r="56">
      <c r="A56" s="60" t="s">
        <v>369</v>
      </c>
      <c r="B56" s="60" t="s">
        <v>370</v>
      </c>
      <c r="C56" s="61">
        <v>8.858289753E9</v>
      </c>
      <c r="D56" s="60" t="s">
        <v>83</v>
      </c>
      <c r="E56" s="62">
        <f t="shared" si="1"/>
        <v>33</v>
      </c>
      <c r="F56" s="62">
        <f t="shared" si="2"/>
        <v>28</v>
      </c>
      <c r="G56" s="52">
        <f t="shared" si="3"/>
        <v>84.84848485</v>
      </c>
      <c r="H56" s="60"/>
      <c r="I56" s="63" t="b">
        <v>1</v>
      </c>
      <c r="J56" s="63" t="b">
        <v>1</v>
      </c>
      <c r="K56" s="63" t="b">
        <v>1</v>
      </c>
      <c r="L56" s="63" t="b">
        <v>1</v>
      </c>
      <c r="M56" s="63" t="b">
        <v>1</v>
      </c>
      <c r="N56" s="63" t="b">
        <v>1</v>
      </c>
      <c r="O56" s="63" t="b">
        <v>0</v>
      </c>
      <c r="P56" s="63" t="b">
        <v>1</v>
      </c>
      <c r="Q56" s="63" t="b">
        <v>1</v>
      </c>
      <c r="R56" s="63" t="b">
        <v>1</v>
      </c>
      <c r="S56" s="63" t="b">
        <v>1</v>
      </c>
      <c r="T56" s="63" t="b">
        <v>1</v>
      </c>
      <c r="U56" s="63" t="b">
        <v>0</v>
      </c>
      <c r="V56" s="63" t="b">
        <v>1</v>
      </c>
      <c r="W56" s="63" t="b">
        <v>1</v>
      </c>
      <c r="X56" s="63" t="b">
        <v>1</v>
      </c>
      <c r="Y56" s="63" t="b">
        <v>1</v>
      </c>
      <c r="Z56" s="63" t="b">
        <v>0</v>
      </c>
      <c r="AA56" s="63" t="b">
        <v>1</v>
      </c>
      <c r="AB56" s="63" t="b">
        <v>1</v>
      </c>
      <c r="AC56" s="63" t="b">
        <v>1</v>
      </c>
      <c r="AD56" s="63" t="b">
        <v>1</v>
      </c>
      <c r="AE56" s="63" t="b">
        <v>1</v>
      </c>
      <c r="AF56" s="63" t="b">
        <v>1</v>
      </c>
      <c r="AG56" s="63" t="b">
        <v>1</v>
      </c>
      <c r="AH56" s="63" t="b">
        <v>1</v>
      </c>
      <c r="AI56" s="63" t="b">
        <v>0</v>
      </c>
      <c r="AJ56" s="63" t="b">
        <v>0</v>
      </c>
      <c r="AK56" s="63" t="b">
        <v>1</v>
      </c>
      <c r="AL56" s="63" t="b">
        <v>1</v>
      </c>
      <c r="AM56" s="63" t="b">
        <v>1</v>
      </c>
      <c r="AN56" s="63" t="b">
        <v>1</v>
      </c>
      <c r="AO56" s="63" t="b">
        <v>1</v>
      </c>
      <c r="AP56" s="60"/>
      <c r="AQ56" s="54">
        <f t="shared" si="4"/>
        <v>7</v>
      </c>
    </row>
    <row r="57">
      <c r="A57" s="60" t="s">
        <v>371</v>
      </c>
      <c r="B57" s="60" t="s">
        <v>372</v>
      </c>
      <c r="C57" s="64" t="s">
        <v>373</v>
      </c>
      <c r="D57" s="60" t="s">
        <v>83</v>
      </c>
      <c r="E57" s="62">
        <f t="shared" si="1"/>
        <v>33</v>
      </c>
      <c r="F57" s="62">
        <f t="shared" si="2"/>
        <v>21</v>
      </c>
      <c r="G57" s="55">
        <f t="shared" si="3"/>
        <v>63.63636364</v>
      </c>
      <c r="H57" s="60"/>
      <c r="I57" s="63" t="b">
        <v>0</v>
      </c>
      <c r="J57" s="63" t="b">
        <v>0</v>
      </c>
      <c r="K57" s="63" t="b">
        <v>0</v>
      </c>
      <c r="L57" s="63" t="b">
        <v>0</v>
      </c>
      <c r="M57" s="63" t="b">
        <v>0</v>
      </c>
      <c r="N57" s="63" t="b">
        <v>0</v>
      </c>
      <c r="O57" s="63" t="b">
        <v>1</v>
      </c>
      <c r="P57" s="63" t="b">
        <v>1</v>
      </c>
      <c r="Q57" s="63" t="b">
        <v>0</v>
      </c>
      <c r="R57" s="63" t="b">
        <v>1</v>
      </c>
      <c r="S57" s="63" t="b">
        <v>1</v>
      </c>
      <c r="T57" s="63" t="b">
        <v>0</v>
      </c>
      <c r="U57" s="63" t="b">
        <v>0</v>
      </c>
      <c r="V57" s="63" t="b">
        <v>1</v>
      </c>
      <c r="W57" s="63" t="b">
        <v>1</v>
      </c>
      <c r="X57" s="63" t="b">
        <v>1</v>
      </c>
      <c r="Y57" s="63" t="b">
        <v>1</v>
      </c>
      <c r="Z57" s="63" t="b">
        <v>1</v>
      </c>
      <c r="AA57" s="63" t="b">
        <v>1</v>
      </c>
      <c r="AB57" s="63" t="b">
        <v>1</v>
      </c>
      <c r="AC57" s="63" t="b">
        <v>1</v>
      </c>
      <c r="AD57" s="63" t="b">
        <v>1</v>
      </c>
      <c r="AE57" s="63" t="b">
        <v>0</v>
      </c>
      <c r="AF57" s="63" t="b">
        <v>1</v>
      </c>
      <c r="AG57" s="63" t="b">
        <v>1</v>
      </c>
      <c r="AH57" s="63" t="b">
        <v>0</v>
      </c>
      <c r="AI57" s="63" t="b">
        <v>1</v>
      </c>
      <c r="AJ57" s="63" t="b">
        <v>1</v>
      </c>
      <c r="AK57" s="63" t="b">
        <v>0</v>
      </c>
      <c r="AL57" s="63" t="b">
        <v>1</v>
      </c>
      <c r="AM57" s="63" t="b">
        <v>1</v>
      </c>
      <c r="AN57" s="63" t="b">
        <v>1</v>
      </c>
      <c r="AO57" s="63" t="b">
        <v>1</v>
      </c>
      <c r="AP57" s="60"/>
      <c r="AQ57" s="54">
        <f t="shared" si="4"/>
        <v>7</v>
      </c>
    </row>
    <row r="58">
      <c r="A58" s="60" t="s">
        <v>374</v>
      </c>
      <c r="B58" s="60" t="s">
        <v>375</v>
      </c>
      <c r="C58" s="64" t="s">
        <v>376</v>
      </c>
      <c r="D58" s="60" t="s">
        <v>83</v>
      </c>
      <c r="E58" s="62">
        <f t="shared" si="1"/>
        <v>33</v>
      </c>
      <c r="F58" s="62">
        <f t="shared" si="2"/>
        <v>18</v>
      </c>
      <c r="G58" s="55">
        <f t="shared" si="3"/>
        <v>54.54545455</v>
      </c>
      <c r="H58" s="60"/>
      <c r="I58" s="63" t="b">
        <v>0</v>
      </c>
      <c r="J58" s="63" t="b">
        <v>0</v>
      </c>
      <c r="K58" s="63" t="b">
        <v>0</v>
      </c>
      <c r="L58" s="63" t="b">
        <v>0</v>
      </c>
      <c r="M58" s="63" t="b">
        <v>0</v>
      </c>
      <c r="N58" s="63" t="b">
        <v>0</v>
      </c>
      <c r="O58" s="63" t="b">
        <v>0</v>
      </c>
      <c r="P58" s="63" t="b">
        <v>0</v>
      </c>
      <c r="Q58" s="63" t="b">
        <v>0</v>
      </c>
      <c r="R58" s="63" t="b">
        <v>1</v>
      </c>
      <c r="S58" s="63" t="b">
        <v>0</v>
      </c>
      <c r="T58" s="63" t="b">
        <v>0</v>
      </c>
      <c r="U58" s="63" t="b">
        <v>1</v>
      </c>
      <c r="V58" s="63" t="b">
        <v>1</v>
      </c>
      <c r="W58" s="63" t="b">
        <v>1</v>
      </c>
      <c r="X58" s="63" t="b">
        <v>1</v>
      </c>
      <c r="Y58" s="63" t="b">
        <v>1</v>
      </c>
      <c r="Z58" s="63" t="b">
        <v>1</v>
      </c>
      <c r="AA58" s="63" t="b">
        <v>1</v>
      </c>
      <c r="AB58" s="63" t="b">
        <v>1</v>
      </c>
      <c r="AC58" s="63" t="b">
        <v>1</v>
      </c>
      <c r="AD58" s="63" t="b">
        <v>1</v>
      </c>
      <c r="AE58" s="63" t="b">
        <v>0</v>
      </c>
      <c r="AF58" s="63" t="b">
        <v>1</v>
      </c>
      <c r="AG58" s="63" t="b">
        <v>1</v>
      </c>
      <c r="AH58" s="63" t="b">
        <v>0</v>
      </c>
      <c r="AI58" s="63" t="b">
        <v>1</v>
      </c>
      <c r="AJ58" s="63" t="b">
        <v>0</v>
      </c>
      <c r="AK58" s="63" t="b">
        <v>0</v>
      </c>
      <c r="AL58" s="63" t="b">
        <v>1</v>
      </c>
      <c r="AM58" s="63" t="b">
        <v>1</v>
      </c>
      <c r="AN58" s="63" t="b">
        <v>1</v>
      </c>
      <c r="AO58" s="63" t="b">
        <v>1</v>
      </c>
      <c r="AP58" s="60"/>
      <c r="AQ58" s="54">
        <f t="shared" si="4"/>
        <v>6</v>
      </c>
    </row>
    <row r="59">
      <c r="A59" s="60" t="s">
        <v>377</v>
      </c>
      <c r="B59" s="60" t="s">
        <v>378</v>
      </c>
      <c r="C59" s="64" t="s">
        <v>379</v>
      </c>
      <c r="D59" s="60" t="s">
        <v>83</v>
      </c>
      <c r="E59" s="62">
        <f t="shared" si="1"/>
        <v>33</v>
      </c>
      <c r="F59" s="62">
        <f t="shared" si="2"/>
        <v>25</v>
      </c>
      <c r="G59" s="52">
        <f t="shared" si="3"/>
        <v>75.75757576</v>
      </c>
      <c r="H59" s="60"/>
      <c r="I59" s="63" t="b">
        <v>1</v>
      </c>
      <c r="J59" s="63" t="b">
        <v>1</v>
      </c>
      <c r="K59" s="63" t="b">
        <v>1</v>
      </c>
      <c r="L59" s="63" t="b">
        <v>1</v>
      </c>
      <c r="M59" s="63" t="b">
        <v>1</v>
      </c>
      <c r="N59" s="63" t="b">
        <v>1</v>
      </c>
      <c r="O59" s="63" t="b">
        <v>0</v>
      </c>
      <c r="P59" s="63" t="b">
        <v>0</v>
      </c>
      <c r="Q59" s="63" t="b">
        <v>0</v>
      </c>
      <c r="R59" s="63" t="b">
        <v>1</v>
      </c>
      <c r="S59" s="63" t="b">
        <v>0</v>
      </c>
      <c r="T59" s="63" t="b">
        <v>0</v>
      </c>
      <c r="U59" s="63" t="b">
        <v>1</v>
      </c>
      <c r="V59" s="63" t="b">
        <v>1</v>
      </c>
      <c r="W59" s="63" t="b">
        <v>1</v>
      </c>
      <c r="X59" s="63" t="b">
        <v>1</v>
      </c>
      <c r="Y59" s="63" t="b">
        <v>0</v>
      </c>
      <c r="Z59" s="63" t="b">
        <v>0</v>
      </c>
      <c r="AA59" s="63" t="b">
        <v>1</v>
      </c>
      <c r="AB59" s="63" t="b">
        <v>1</v>
      </c>
      <c r="AC59" s="63" t="b">
        <v>1</v>
      </c>
      <c r="AD59" s="63" t="b">
        <v>1</v>
      </c>
      <c r="AE59" s="63" t="b">
        <v>1</v>
      </c>
      <c r="AF59" s="63" t="b">
        <v>0</v>
      </c>
      <c r="AG59" s="63" t="b">
        <v>1</v>
      </c>
      <c r="AH59" s="63" t="b">
        <v>1</v>
      </c>
      <c r="AI59" s="63" t="b">
        <v>1</v>
      </c>
      <c r="AJ59" s="63" t="b">
        <v>1</v>
      </c>
      <c r="AK59" s="63" t="b">
        <v>1</v>
      </c>
      <c r="AL59" s="63" t="b">
        <v>1</v>
      </c>
      <c r="AM59" s="63" t="b">
        <v>1</v>
      </c>
      <c r="AN59" s="63" t="b">
        <v>1</v>
      </c>
      <c r="AO59" s="63" t="b">
        <v>1</v>
      </c>
      <c r="AP59" s="60"/>
      <c r="AQ59" s="54">
        <f t="shared" si="4"/>
        <v>9</v>
      </c>
    </row>
    <row r="60">
      <c r="A60" s="60" t="s">
        <v>380</v>
      </c>
      <c r="B60" s="60" t="s">
        <v>381</v>
      </c>
      <c r="C60" s="64" t="s">
        <v>382</v>
      </c>
      <c r="D60" s="60" t="s">
        <v>83</v>
      </c>
      <c r="E60" s="62">
        <f t="shared" si="1"/>
        <v>33</v>
      </c>
      <c r="F60" s="62">
        <f t="shared" si="2"/>
        <v>32</v>
      </c>
      <c r="G60" s="52">
        <f t="shared" si="3"/>
        <v>96.96969697</v>
      </c>
      <c r="H60" s="60"/>
      <c r="I60" s="63" t="b">
        <v>1</v>
      </c>
      <c r="J60" s="63" t="b">
        <v>1</v>
      </c>
      <c r="K60" s="63" t="b">
        <v>1</v>
      </c>
      <c r="L60" s="63" t="b">
        <v>1</v>
      </c>
      <c r="M60" s="63" t="b">
        <v>0</v>
      </c>
      <c r="N60" s="63" t="b">
        <v>1</v>
      </c>
      <c r="O60" s="63" t="b">
        <v>1</v>
      </c>
      <c r="P60" s="63" t="b">
        <v>1</v>
      </c>
      <c r="Q60" s="63" t="b">
        <v>1</v>
      </c>
      <c r="R60" s="63" t="b">
        <v>1</v>
      </c>
      <c r="S60" s="63" t="b">
        <v>1</v>
      </c>
      <c r="T60" s="63" t="b">
        <v>1</v>
      </c>
      <c r="U60" s="63" t="b">
        <v>1</v>
      </c>
      <c r="V60" s="63" t="b">
        <v>1</v>
      </c>
      <c r="W60" s="63" t="b">
        <v>1</v>
      </c>
      <c r="X60" s="63" t="b">
        <v>1</v>
      </c>
      <c r="Y60" s="63" t="b">
        <v>1</v>
      </c>
      <c r="Z60" s="63" t="b">
        <v>1</v>
      </c>
      <c r="AA60" s="63" t="b">
        <v>1</v>
      </c>
      <c r="AB60" s="63" t="b">
        <v>1</v>
      </c>
      <c r="AC60" s="63" t="b">
        <v>1</v>
      </c>
      <c r="AD60" s="63" t="b">
        <v>1</v>
      </c>
      <c r="AE60" s="63" t="b">
        <v>1</v>
      </c>
      <c r="AF60" s="63" t="b">
        <v>1</v>
      </c>
      <c r="AG60" s="63" t="b">
        <v>1</v>
      </c>
      <c r="AH60" s="63" t="b">
        <v>1</v>
      </c>
      <c r="AI60" s="63" t="b">
        <v>1</v>
      </c>
      <c r="AJ60" s="63" t="b">
        <v>1</v>
      </c>
      <c r="AK60" s="63" t="b">
        <v>1</v>
      </c>
      <c r="AL60" s="63" t="b">
        <v>1</v>
      </c>
      <c r="AM60" s="63" t="b">
        <v>1</v>
      </c>
      <c r="AN60" s="63" t="b">
        <v>1</v>
      </c>
      <c r="AO60" s="63" t="b">
        <v>1</v>
      </c>
      <c r="AP60" s="60"/>
      <c r="AQ60" s="54">
        <f t="shared" si="4"/>
        <v>9</v>
      </c>
    </row>
    <row r="61">
      <c r="A61" s="60" t="s">
        <v>383</v>
      </c>
      <c r="B61" s="60" t="s">
        <v>384</v>
      </c>
      <c r="C61" s="64" t="s">
        <v>385</v>
      </c>
      <c r="D61" s="60" t="s">
        <v>83</v>
      </c>
      <c r="E61" s="62">
        <f t="shared" si="1"/>
        <v>33</v>
      </c>
      <c r="F61" s="62">
        <f t="shared" si="2"/>
        <v>32</v>
      </c>
      <c r="G61" s="52">
        <f t="shared" si="3"/>
        <v>96.96969697</v>
      </c>
      <c r="H61" s="60"/>
      <c r="I61" s="63" t="b">
        <v>1</v>
      </c>
      <c r="J61" s="63" t="b">
        <v>1</v>
      </c>
      <c r="K61" s="63" t="b">
        <v>1</v>
      </c>
      <c r="L61" s="63" t="b">
        <v>1</v>
      </c>
      <c r="M61" s="63" t="b">
        <v>0</v>
      </c>
      <c r="N61" s="63" t="b">
        <v>1</v>
      </c>
      <c r="O61" s="63" t="b">
        <v>1</v>
      </c>
      <c r="P61" s="63" t="b">
        <v>1</v>
      </c>
      <c r="Q61" s="63" t="b">
        <v>1</v>
      </c>
      <c r="R61" s="63" t="b">
        <v>1</v>
      </c>
      <c r="S61" s="63" t="b">
        <v>1</v>
      </c>
      <c r="T61" s="63" t="b">
        <v>1</v>
      </c>
      <c r="U61" s="63" t="b">
        <v>1</v>
      </c>
      <c r="V61" s="63" t="b">
        <v>1</v>
      </c>
      <c r="W61" s="63" t="b">
        <v>1</v>
      </c>
      <c r="X61" s="63" t="b">
        <v>1</v>
      </c>
      <c r="Y61" s="63" t="b">
        <v>1</v>
      </c>
      <c r="Z61" s="63" t="b">
        <v>1</v>
      </c>
      <c r="AA61" s="63" t="b">
        <v>1</v>
      </c>
      <c r="AB61" s="63" t="b">
        <v>1</v>
      </c>
      <c r="AC61" s="63" t="b">
        <v>1</v>
      </c>
      <c r="AD61" s="63" t="b">
        <v>1</v>
      </c>
      <c r="AE61" s="63" t="b">
        <v>1</v>
      </c>
      <c r="AF61" s="63" t="b">
        <v>1</v>
      </c>
      <c r="AG61" s="63" t="b">
        <v>1</v>
      </c>
      <c r="AH61" s="63" t="b">
        <v>1</v>
      </c>
      <c r="AI61" s="63" t="b">
        <v>1</v>
      </c>
      <c r="AJ61" s="63" t="b">
        <v>1</v>
      </c>
      <c r="AK61" s="63" t="b">
        <v>1</v>
      </c>
      <c r="AL61" s="63" t="b">
        <v>1</v>
      </c>
      <c r="AM61" s="63" t="b">
        <v>1</v>
      </c>
      <c r="AN61" s="63" t="b">
        <v>1</v>
      </c>
      <c r="AO61" s="63" t="b">
        <v>1</v>
      </c>
      <c r="AP61" s="60"/>
      <c r="AQ61" s="54">
        <f t="shared" si="4"/>
        <v>9</v>
      </c>
    </row>
    <row r="62">
      <c r="A62" s="60" t="s">
        <v>386</v>
      </c>
      <c r="B62" s="60" t="s">
        <v>387</v>
      </c>
      <c r="C62" s="61">
        <v>7.017697574E9</v>
      </c>
      <c r="D62" s="60" t="s">
        <v>83</v>
      </c>
      <c r="E62" s="62">
        <f t="shared" si="1"/>
        <v>33</v>
      </c>
      <c r="F62" s="62">
        <f t="shared" si="2"/>
        <v>20</v>
      </c>
      <c r="G62" s="55">
        <f t="shared" si="3"/>
        <v>60.60606061</v>
      </c>
      <c r="H62" s="60"/>
      <c r="I62" s="63" t="b">
        <v>1</v>
      </c>
      <c r="J62" s="63" t="b">
        <v>1</v>
      </c>
      <c r="K62" s="63" t="b">
        <v>0</v>
      </c>
      <c r="L62" s="63" t="b">
        <v>1</v>
      </c>
      <c r="M62" s="63" t="b">
        <v>0</v>
      </c>
      <c r="N62" s="63" t="b">
        <v>1</v>
      </c>
      <c r="O62" s="63" t="b">
        <v>0</v>
      </c>
      <c r="P62" s="63" t="b">
        <v>0</v>
      </c>
      <c r="Q62" s="63" t="b">
        <v>0</v>
      </c>
      <c r="R62" s="63" t="b">
        <v>0</v>
      </c>
      <c r="S62" s="63" t="b">
        <v>1</v>
      </c>
      <c r="T62" s="63" t="b">
        <v>1</v>
      </c>
      <c r="U62" s="63" t="b">
        <v>0</v>
      </c>
      <c r="V62" s="63" t="b">
        <v>0</v>
      </c>
      <c r="W62" s="63" t="b">
        <v>0</v>
      </c>
      <c r="X62" s="63" t="b">
        <v>0</v>
      </c>
      <c r="Y62" s="63" t="b">
        <v>0</v>
      </c>
      <c r="Z62" s="63" t="b">
        <v>1</v>
      </c>
      <c r="AA62" s="63" t="b">
        <v>0</v>
      </c>
      <c r="AB62" s="63" t="b">
        <v>0</v>
      </c>
      <c r="AC62" s="63" t="b">
        <v>1</v>
      </c>
      <c r="AD62" s="63" t="b">
        <v>1</v>
      </c>
      <c r="AE62" s="63" t="b">
        <v>1</v>
      </c>
      <c r="AF62" s="63" t="b">
        <v>1</v>
      </c>
      <c r="AG62" s="63" t="b">
        <v>1</v>
      </c>
      <c r="AH62" s="63" t="b">
        <v>1</v>
      </c>
      <c r="AI62" s="63" t="b">
        <v>1</v>
      </c>
      <c r="AJ62" s="63" t="b">
        <v>1</v>
      </c>
      <c r="AK62" s="63" t="b">
        <v>1</v>
      </c>
      <c r="AL62" s="63" t="b">
        <v>1</v>
      </c>
      <c r="AM62" s="63" t="b">
        <v>1</v>
      </c>
      <c r="AN62" s="63" t="b">
        <v>1</v>
      </c>
      <c r="AO62" s="63" t="b">
        <v>1</v>
      </c>
      <c r="AP62" s="60"/>
      <c r="AQ62" s="54">
        <f t="shared" si="4"/>
        <v>9</v>
      </c>
    </row>
    <row r="63">
      <c r="A63" s="60" t="s">
        <v>388</v>
      </c>
      <c r="B63" s="60" t="s">
        <v>389</v>
      </c>
      <c r="C63" s="61">
        <v>9.88932099E9</v>
      </c>
      <c r="D63" s="60" t="s">
        <v>83</v>
      </c>
      <c r="E63" s="62">
        <f t="shared" si="1"/>
        <v>33</v>
      </c>
      <c r="F63" s="62">
        <f t="shared" si="2"/>
        <v>18</v>
      </c>
      <c r="G63" s="55">
        <f t="shared" si="3"/>
        <v>54.54545455</v>
      </c>
      <c r="H63" s="60"/>
      <c r="I63" s="63" t="b">
        <v>1</v>
      </c>
      <c r="J63" s="63" t="b">
        <v>1</v>
      </c>
      <c r="K63" s="63" t="b">
        <v>0</v>
      </c>
      <c r="L63" s="63" t="b">
        <v>0</v>
      </c>
      <c r="M63" s="63" t="b">
        <v>1</v>
      </c>
      <c r="N63" s="63" t="b">
        <v>0</v>
      </c>
      <c r="O63" s="63" t="b">
        <v>0</v>
      </c>
      <c r="P63" s="63" t="b">
        <v>0</v>
      </c>
      <c r="Q63" s="63" t="b">
        <v>0</v>
      </c>
      <c r="R63" s="63" t="b">
        <v>0</v>
      </c>
      <c r="S63" s="63" t="b">
        <v>1</v>
      </c>
      <c r="T63" s="63" t="b">
        <v>1</v>
      </c>
      <c r="U63" s="63" t="b">
        <v>0</v>
      </c>
      <c r="V63" s="63" t="b">
        <v>1</v>
      </c>
      <c r="W63" s="63" t="b">
        <v>0</v>
      </c>
      <c r="X63" s="63" t="b">
        <v>1</v>
      </c>
      <c r="Y63" s="63" t="b">
        <v>0</v>
      </c>
      <c r="Z63" s="63" t="b">
        <v>0</v>
      </c>
      <c r="AA63" s="63" t="b">
        <v>1</v>
      </c>
      <c r="AB63" s="63" t="b">
        <v>1</v>
      </c>
      <c r="AC63" s="63" t="b">
        <v>0</v>
      </c>
      <c r="AD63" s="63" t="b">
        <v>1</v>
      </c>
      <c r="AE63" s="63" t="b">
        <v>1</v>
      </c>
      <c r="AF63" s="63" t="b">
        <v>0</v>
      </c>
      <c r="AG63" s="63" t="b">
        <v>1</v>
      </c>
      <c r="AH63" s="63" t="b">
        <v>0</v>
      </c>
      <c r="AI63" s="63" t="b">
        <v>1</v>
      </c>
      <c r="AJ63" s="63" t="b">
        <v>1</v>
      </c>
      <c r="AK63" s="63" t="b">
        <v>0</v>
      </c>
      <c r="AL63" s="63" t="b">
        <v>1</v>
      </c>
      <c r="AM63" s="63" t="b">
        <v>1</v>
      </c>
      <c r="AN63" s="63" t="b">
        <v>1</v>
      </c>
      <c r="AO63" s="63" t="b">
        <v>1</v>
      </c>
      <c r="AP63" s="60"/>
      <c r="AQ63" s="54">
        <f t="shared" si="4"/>
        <v>7</v>
      </c>
    </row>
    <row r="64">
      <c r="A64" s="60" t="s">
        <v>390</v>
      </c>
      <c r="B64" s="60" t="s">
        <v>391</v>
      </c>
      <c r="C64" s="61">
        <v>6.392559642E9</v>
      </c>
      <c r="D64" s="60" t="s">
        <v>83</v>
      </c>
      <c r="E64" s="62">
        <f t="shared" si="1"/>
        <v>33</v>
      </c>
      <c r="F64" s="62">
        <f t="shared" si="2"/>
        <v>25</v>
      </c>
      <c r="G64" s="52">
        <f t="shared" si="3"/>
        <v>75.75757576</v>
      </c>
      <c r="H64" s="60"/>
      <c r="I64" s="63" t="b">
        <v>1</v>
      </c>
      <c r="J64" s="63" t="b">
        <v>1</v>
      </c>
      <c r="K64" s="63" t="b">
        <v>1</v>
      </c>
      <c r="L64" s="63" t="b">
        <v>1</v>
      </c>
      <c r="M64" s="63" t="b">
        <v>1</v>
      </c>
      <c r="N64" s="63" t="b">
        <v>1</v>
      </c>
      <c r="O64" s="63" t="b">
        <v>0</v>
      </c>
      <c r="P64" s="63" t="b">
        <v>0</v>
      </c>
      <c r="Q64" s="63" t="b">
        <v>0</v>
      </c>
      <c r="R64" s="63" t="b">
        <v>1</v>
      </c>
      <c r="S64" s="63" t="b">
        <v>1</v>
      </c>
      <c r="T64" s="63" t="b">
        <v>1</v>
      </c>
      <c r="U64" s="63" t="b">
        <v>0</v>
      </c>
      <c r="V64" s="63" t="b">
        <v>1</v>
      </c>
      <c r="W64" s="63" t="b">
        <v>0</v>
      </c>
      <c r="X64" s="63" t="b">
        <v>1</v>
      </c>
      <c r="Y64" s="63" t="b">
        <v>1</v>
      </c>
      <c r="Z64" s="63" t="b">
        <v>1</v>
      </c>
      <c r="AA64" s="63" t="b">
        <v>0</v>
      </c>
      <c r="AB64" s="63" t="b">
        <v>1</v>
      </c>
      <c r="AC64" s="63" t="b">
        <v>1</v>
      </c>
      <c r="AD64" s="63" t="b">
        <v>1</v>
      </c>
      <c r="AE64" s="63" t="b">
        <v>1</v>
      </c>
      <c r="AF64" s="63" t="b">
        <v>1</v>
      </c>
      <c r="AG64" s="63" t="b">
        <v>0</v>
      </c>
      <c r="AH64" s="63" t="b">
        <v>1</v>
      </c>
      <c r="AI64" s="63" t="b">
        <v>1</v>
      </c>
      <c r="AJ64" s="63" t="b">
        <v>0</v>
      </c>
      <c r="AK64" s="63" t="b">
        <v>1</v>
      </c>
      <c r="AL64" s="63" t="b">
        <v>1</v>
      </c>
      <c r="AM64" s="63" t="b">
        <v>1</v>
      </c>
      <c r="AN64" s="63" t="b">
        <v>1</v>
      </c>
      <c r="AO64" s="63" t="b">
        <v>1</v>
      </c>
      <c r="AP64" s="60"/>
      <c r="AQ64" s="54">
        <f t="shared" si="4"/>
        <v>7</v>
      </c>
    </row>
    <row r="65">
      <c r="A65" s="60" t="s">
        <v>392</v>
      </c>
      <c r="B65" s="60"/>
      <c r="C65" s="61" t="s">
        <v>393</v>
      </c>
      <c r="D65" s="60" t="s">
        <v>83</v>
      </c>
      <c r="E65" s="62">
        <f t="shared" si="1"/>
        <v>33</v>
      </c>
      <c r="F65" s="62">
        <f t="shared" si="2"/>
        <v>16</v>
      </c>
      <c r="G65" s="55">
        <f t="shared" si="3"/>
        <v>48.48484848</v>
      </c>
      <c r="H65" s="60"/>
      <c r="I65" s="63" t="b">
        <v>0</v>
      </c>
      <c r="J65" s="63" t="b">
        <v>0</v>
      </c>
      <c r="K65" s="63" t="b">
        <v>0</v>
      </c>
      <c r="L65" s="63" t="b">
        <v>0</v>
      </c>
      <c r="M65" s="63" t="b">
        <v>0</v>
      </c>
      <c r="N65" s="63" t="b">
        <v>0</v>
      </c>
      <c r="O65" s="63" t="b">
        <v>0</v>
      </c>
      <c r="P65" s="63" t="b">
        <v>0</v>
      </c>
      <c r="Q65" s="63" t="b">
        <v>0</v>
      </c>
      <c r="R65" s="63" t="b">
        <v>0</v>
      </c>
      <c r="S65" s="63" t="b">
        <v>1</v>
      </c>
      <c r="T65" s="63" t="b">
        <v>1</v>
      </c>
      <c r="U65" s="63" t="b">
        <v>0</v>
      </c>
      <c r="V65" s="63" t="b">
        <v>0</v>
      </c>
      <c r="W65" s="63" t="b">
        <v>1</v>
      </c>
      <c r="X65" s="63" t="b">
        <v>1</v>
      </c>
      <c r="Y65" s="63" t="b">
        <v>0</v>
      </c>
      <c r="Z65" s="63" t="b">
        <v>0</v>
      </c>
      <c r="AA65" s="63" t="b">
        <v>1</v>
      </c>
      <c r="AB65" s="63" t="b">
        <v>0</v>
      </c>
      <c r="AC65" s="63" t="b">
        <v>1</v>
      </c>
      <c r="AD65" s="63" t="b">
        <v>1</v>
      </c>
      <c r="AE65" s="63" t="b">
        <v>0</v>
      </c>
      <c r="AF65" s="63" t="b">
        <v>0</v>
      </c>
      <c r="AG65" s="63" t="b">
        <v>1</v>
      </c>
      <c r="AH65" s="63" t="b">
        <v>1</v>
      </c>
      <c r="AI65" s="63" t="b">
        <v>1</v>
      </c>
      <c r="AJ65" s="63" t="b">
        <v>1</v>
      </c>
      <c r="AK65" s="63" t="b">
        <v>1</v>
      </c>
      <c r="AL65" s="63" t="b">
        <v>1</v>
      </c>
      <c r="AM65" s="63" t="b">
        <v>1</v>
      </c>
      <c r="AN65" s="63" t="b">
        <v>1</v>
      </c>
      <c r="AO65" s="63" t="b">
        <v>1</v>
      </c>
      <c r="AP65" s="60"/>
      <c r="AQ65" s="54">
        <f t="shared" si="4"/>
        <v>9</v>
      </c>
    </row>
    <row r="66">
      <c r="A66" s="60" t="s">
        <v>394</v>
      </c>
      <c r="B66" s="60" t="s">
        <v>395</v>
      </c>
      <c r="C66" s="64" t="s">
        <v>396</v>
      </c>
      <c r="D66" s="60" t="s">
        <v>83</v>
      </c>
      <c r="E66" s="62">
        <f t="shared" si="1"/>
        <v>33</v>
      </c>
      <c r="F66" s="62">
        <f t="shared" si="2"/>
        <v>21</v>
      </c>
      <c r="G66" s="55">
        <f t="shared" si="3"/>
        <v>63.63636364</v>
      </c>
      <c r="H66" s="60"/>
      <c r="I66" s="63" t="b">
        <v>0</v>
      </c>
      <c r="J66" s="63" t="b">
        <v>0</v>
      </c>
      <c r="K66" s="63" t="b">
        <v>1</v>
      </c>
      <c r="L66" s="63" t="b">
        <v>1</v>
      </c>
      <c r="M66" s="63" t="b">
        <v>0</v>
      </c>
      <c r="N66" s="63" t="b">
        <v>0</v>
      </c>
      <c r="O66" s="63" t="b">
        <v>1</v>
      </c>
      <c r="P66" s="63" t="b">
        <v>1</v>
      </c>
      <c r="Q66" s="63" t="b">
        <v>0</v>
      </c>
      <c r="R66" s="63" t="b">
        <v>0</v>
      </c>
      <c r="S66" s="63" t="b">
        <v>1</v>
      </c>
      <c r="T66" s="63" t="b">
        <v>1</v>
      </c>
      <c r="U66" s="63" t="b">
        <v>0</v>
      </c>
      <c r="V66" s="63" t="b">
        <v>1</v>
      </c>
      <c r="W66" s="63" t="b">
        <v>0</v>
      </c>
      <c r="X66" s="63" t="b">
        <v>1</v>
      </c>
      <c r="Y66" s="63" t="b">
        <v>0</v>
      </c>
      <c r="Z66" s="63" t="b">
        <v>1</v>
      </c>
      <c r="AA66" s="63" t="b">
        <v>1</v>
      </c>
      <c r="AB66" s="63" t="b">
        <v>1</v>
      </c>
      <c r="AC66" s="63" t="b">
        <v>1</v>
      </c>
      <c r="AD66" s="63" t="b">
        <v>1</v>
      </c>
      <c r="AE66" s="63" t="b">
        <v>1</v>
      </c>
      <c r="AF66" s="63" t="b">
        <v>0</v>
      </c>
      <c r="AG66" s="63" t="b">
        <v>0</v>
      </c>
      <c r="AH66" s="63" t="b">
        <v>0</v>
      </c>
      <c r="AI66" s="63" t="b">
        <v>1</v>
      </c>
      <c r="AJ66" s="63" t="b">
        <v>1</v>
      </c>
      <c r="AK66" s="63" t="b">
        <v>1</v>
      </c>
      <c r="AL66" s="63" t="b">
        <v>1</v>
      </c>
      <c r="AM66" s="63" t="b">
        <v>1</v>
      </c>
      <c r="AN66" s="63" t="b">
        <v>1</v>
      </c>
      <c r="AO66" s="63" t="b">
        <v>1</v>
      </c>
      <c r="AP66" s="60"/>
      <c r="AQ66" s="54">
        <f t="shared" si="4"/>
        <v>7</v>
      </c>
    </row>
    <row r="67">
      <c r="A67" s="60" t="s">
        <v>397</v>
      </c>
      <c r="B67" s="60" t="s">
        <v>398</v>
      </c>
      <c r="C67" s="64" t="s">
        <v>399</v>
      </c>
      <c r="D67" s="60" t="s">
        <v>83</v>
      </c>
      <c r="E67" s="62">
        <f t="shared" si="1"/>
        <v>33</v>
      </c>
      <c r="F67" s="62">
        <f t="shared" si="2"/>
        <v>22</v>
      </c>
      <c r="G67" s="55">
        <f t="shared" si="3"/>
        <v>66.66666667</v>
      </c>
      <c r="H67" s="60"/>
      <c r="I67" s="63" t="b">
        <v>0</v>
      </c>
      <c r="J67" s="63" t="b">
        <v>0</v>
      </c>
      <c r="K67" s="63" t="b">
        <v>1</v>
      </c>
      <c r="L67" s="63" t="b">
        <v>0</v>
      </c>
      <c r="M67" s="63" t="b">
        <v>1</v>
      </c>
      <c r="N67" s="63" t="b">
        <v>1</v>
      </c>
      <c r="O67" s="63" t="b">
        <v>1</v>
      </c>
      <c r="P67" s="63" t="b">
        <v>1</v>
      </c>
      <c r="Q67" s="63" t="b">
        <v>1</v>
      </c>
      <c r="R67" s="63" t="b">
        <v>1</v>
      </c>
      <c r="S67" s="63" t="b">
        <v>0</v>
      </c>
      <c r="T67" s="63" t="b">
        <v>1</v>
      </c>
      <c r="U67" s="63" t="b">
        <v>0</v>
      </c>
      <c r="V67" s="63" t="b">
        <v>0</v>
      </c>
      <c r="W67" s="63" t="b">
        <v>0</v>
      </c>
      <c r="X67" s="63" t="b">
        <v>0</v>
      </c>
      <c r="Y67" s="63" t="b">
        <v>1</v>
      </c>
      <c r="Z67" s="63" t="b">
        <v>0</v>
      </c>
      <c r="AA67" s="63" t="b">
        <v>1</v>
      </c>
      <c r="AB67" s="63" t="b">
        <v>0</v>
      </c>
      <c r="AC67" s="63" t="b">
        <v>1</v>
      </c>
      <c r="AD67" s="63" t="b">
        <v>1</v>
      </c>
      <c r="AE67" s="63" t="b">
        <v>1</v>
      </c>
      <c r="AF67" s="63" t="b">
        <v>1</v>
      </c>
      <c r="AG67" s="63" t="b">
        <v>1</v>
      </c>
      <c r="AH67" s="63" t="b">
        <v>1</v>
      </c>
      <c r="AI67" s="63" t="b">
        <v>1</v>
      </c>
      <c r="AJ67" s="63" t="b">
        <v>1</v>
      </c>
      <c r="AK67" s="63" t="b">
        <v>0</v>
      </c>
      <c r="AL67" s="63" t="b">
        <v>1</v>
      </c>
      <c r="AM67" s="63" t="b">
        <v>1</v>
      </c>
      <c r="AN67" s="63" t="b">
        <v>1</v>
      </c>
      <c r="AO67" s="63" t="b">
        <v>1</v>
      </c>
      <c r="AP67" s="60"/>
      <c r="AQ67" s="54">
        <f t="shared" si="4"/>
        <v>8</v>
      </c>
    </row>
    <row r="68">
      <c r="A68" s="60" t="s">
        <v>400</v>
      </c>
      <c r="B68" s="60" t="s">
        <v>401</v>
      </c>
      <c r="C68" s="64" t="s">
        <v>402</v>
      </c>
      <c r="D68" s="60" t="s">
        <v>83</v>
      </c>
      <c r="E68" s="62">
        <f t="shared" si="1"/>
        <v>33</v>
      </c>
      <c r="F68" s="62">
        <f t="shared" si="2"/>
        <v>27</v>
      </c>
      <c r="G68" s="52">
        <f t="shared" si="3"/>
        <v>81.81818182</v>
      </c>
      <c r="H68" s="60"/>
      <c r="I68" s="63" t="b">
        <v>1</v>
      </c>
      <c r="J68" s="63" t="b">
        <v>1</v>
      </c>
      <c r="K68" s="63" t="b">
        <v>1</v>
      </c>
      <c r="L68" s="63" t="b">
        <v>1</v>
      </c>
      <c r="M68" s="63" t="b">
        <v>1</v>
      </c>
      <c r="N68" s="63" t="b">
        <v>1</v>
      </c>
      <c r="O68" s="63" t="b">
        <v>1</v>
      </c>
      <c r="P68" s="63" t="b">
        <v>1</v>
      </c>
      <c r="Q68" s="63" t="b">
        <v>1</v>
      </c>
      <c r="R68" s="63" t="b">
        <v>1</v>
      </c>
      <c r="S68" s="63" t="b">
        <v>1</v>
      </c>
      <c r="T68" s="63" t="b">
        <v>1</v>
      </c>
      <c r="U68" s="63" t="b">
        <v>1</v>
      </c>
      <c r="V68" s="63" t="b">
        <v>1</v>
      </c>
      <c r="W68" s="63" t="b">
        <v>1</v>
      </c>
      <c r="X68" s="63" t="b">
        <v>1</v>
      </c>
      <c r="Y68" s="63" t="b">
        <v>0</v>
      </c>
      <c r="Z68" s="63" t="b">
        <v>0</v>
      </c>
      <c r="AA68" s="63" t="b">
        <v>0</v>
      </c>
      <c r="AB68" s="63" t="b">
        <v>0</v>
      </c>
      <c r="AC68" s="63" t="b">
        <v>1</v>
      </c>
      <c r="AD68" s="63" t="b">
        <v>1</v>
      </c>
      <c r="AE68" s="63" t="b">
        <v>0</v>
      </c>
      <c r="AF68" s="63" t="b">
        <v>0</v>
      </c>
      <c r="AG68" s="63" t="b">
        <v>1</v>
      </c>
      <c r="AH68" s="63" t="b">
        <v>1</v>
      </c>
      <c r="AI68" s="63" t="b">
        <v>1</v>
      </c>
      <c r="AJ68" s="63" t="b">
        <v>1</v>
      </c>
      <c r="AK68" s="63" t="b">
        <v>1</v>
      </c>
      <c r="AL68" s="63" t="b">
        <v>1</v>
      </c>
      <c r="AM68" s="63" t="b">
        <v>1</v>
      </c>
      <c r="AN68" s="63" t="b">
        <v>1</v>
      </c>
      <c r="AO68" s="63" t="b">
        <v>1</v>
      </c>
      <c r="AP68" s="60"/>
      <c r="AQ68" s="54">
        <f t="shared" si="4"/>
        <v>9</v>
      </c>
    </row>
    <row r="69">
      <c r="A69" s="60" t="s">
        <v>403</v>
      </c>
      <c r="B69" s="60" t="s">
        <v>404</v>
      </c>
      <c r="C69" s="61">
        <v>8.467944959E9</v>
      </c>
      <c r="D69" s="60" t="s">
        <v>83</v>
      </c>
      <c r="E69" s="62">
        <f t="shared" si="1"/>
        <v>33</v>
      </c>
      <c r="F69" s="62">
        <f t="shared" si="2"/>
        <v>12</v>
      </c>
      <c r="G69" s="55">
        <f t="shared" si="3"/>
        <v>36.36363636</v>
      </c>
      <c r="H69" s="60"/>
      <c r="I69" s="63" t="b">
        <v>0</v>
      </c>
      <c r="J69" s="63" t="b">
        <v>0</v>
      </c>
      <c r="K69" s="63" t="b">
        <v>0</v>
      </c>
      <c r="L69" s="63" t="b">
        <v>0</v>
      </c>
      <c r="M69" s="63" t="b">
        <v>1</v>
      </c>
      <c r="N69" s="63" t="b">
        <v>0</v>
      </c>
      <c r="O69" s="63" t="b">
        <v>0</v>
      </c>
      <c r="P69" s="63" t="b">
        <v>0</v>
      </c>
      <c r="Q69" s="63" t="b">
        <v>0</v>
      </c>
      <c r="R69" s="63" t="b">
        <v>0</v>
      </c>
      <c r="S69" s="63" t="b">
        <v>0</v>
      </c>
      <c r="T69" s="63" t="b">
        <v>0</v>
      </c>
      <c r="U69" s="63" t="b">
        <v>0</v>
      </c>
      <c r="V69" s="63" t="b">
        <v>0</v>
      </c>
      <c r="W69" s="63" t="b">
        <v>0</v>
      </c>
      <c r="X69" s="63" t="b">
        <v>0</v>
      </c>
      <c r="Y69" s="63" t="b">
        <v>0</v>
      </c>
      <c r="Z69" s="63" t="b">
        <v>0</v>
      </c>
      <c r="AA69" s="63" t="b">
        <v>0</v>
      </c>
      <c r="AB69" s="63" t="b">
        <v>1</v>
      </c>
      <c r="AC69" s="63" t="b">
        <v>1</v>
      </c>
      <c r="AD69" s="63" t="b">
        <v>1</v>
      </c>
      <c r="AE69" s="63" t="b">
        <v>0</v>
      </c>
      <c r="AF69" s="63" t="b">
        <v>1</v>
      </c>
      <c r="AG69" s="63" t="b">
        <v>1</v>
      </c>
      <c r="AH69" s="63" t="b">
        <v>1</v>
      </c>
      <c r="AI69" s="63" t="b">
        <v>0</v>
      </c>
      <c r="AJ69" s="63" t="b">
        <v>0</v>
      </c>
      <c r="AK69" s="63" t="b">
        <v>1</v>
      </c>
      <c r="AL69" s="63" t="b">
        <v>1</v>
      </c>
      <c r="AM69" s="63" t="b">
        <v>1</v>
      </c>
      <c r="AN69" s="63" t="b">
        <v>1</v>
      </c>
      <c r="AO69" s="63" t="b">
        <v>1</v>
      </c>
      <c r="AP69" s="60"/>
      <c r="AQ69" s="54">
        <f t="shared" si="4"/>
        <v>7</v>
      </c>
    </row>
    <row r="70">
      <c r="A70" s="60" t="s">
        <v>405</v>
      </c>
      <c r="B70" s="60" t="s">
        <v>406</v>
      </c>
      <c r="C70" s="64" t="s">
        <v>407</v>
      </c>
      <c r="D70" s="60" t="s">
        <v>83</v>
      </c>
      <c r="E70" s="62">
        <f t="shared" si="1"/>
        <v>33</v>
      </c>
      <c r="F70" s="62">
        <f t="shared" si="2"/>
        <v>28</v>
      </c>
      <c r="G70" s="52">
        <f t="shared" si="3"/>
        <v>84.84848485</v>
      </c>
      <c r="H70" s="60"/>
      <c r="I70" s="63" t="b">
        <v>1</v>
      </c>
      <c r="J70" s="63" t="b">
        <v>1</v>
      </c>
      <c r="K70" s="63" t="b">
        <v>1</v>
      </c>
      <c r="L70" s="63" t="b">
        <v>1</v>
      </c>
      <c r="M70" s="63" t="b">
        <v>1</v>
      </c>
      <c r="N70" s="63" t="b">
        <v>0</v>
      </c>
      <c r="O70" s="63" t="b">
        <v>0</v>
      </c>
      <c r="P70" s="63" t="b">
        <v>0</v>
      </c>
      <c r="Q70" s="63" t="b">
        <v>0</v>
      </c>
      <c r="R70" s="63" t="b">
        <v>1</v>
      </c>
      <c r="S70" s="63" t="b">
        <v>1</v>
      </c>
      <c r="T70" s="63" t="b">
        <v>1</v>
      </c>
      <c r="U70" s="63" t="b">
        <v>1</v>
      </c>
      <c r="V70" s="63" t="b">
        <v>1</v>
      </c>
      <c r="W70" s="63" t="b">
        <v>1</v>
      </c>
      <c r="X70" s="63" t="b">
        <v>1</v>
      </c>
      <c r="Y70" s="63" t="b">
        <v>0</v>
      </c>
      <c r="Z70" s="63" t="b">
        <v>1</v>
      </c>
      <c r="AA70" s="63" t="b">
        <v>1</v>
      </c>
      <c r="AB70" s="63" t="b">
        <v>1</v>
      </c>
      <c r="AC70" s="63" t="b">
        <v>1</v>
      </c>
      <c r="AD70" s="63" t="b">
        <v>1</v>
      </c>
      <c r="AE70" s="63" t="b">
        <v>1</v>
      </c>
      <c r="AF70" s="63" t="b">
        <v>1</v>
      </c>
      <c r="AG70" s="63" t="b">
        <v>1</v>
      </c>
      <c r="AH70" s="63" t="b">
        <v>1</v>
      </c>
      <c r="AI70" s="63" t="b">
        <v>1</v>
      </c>
      <c r="AJ70" s="63" t="b">
        <v>1</v>
      </c>
      <c r="AK70" s="63" t="b">
        <v>1</v>
      </c>
      <c r="AL70" s="63" t="b">
        <v>1</v>
      </c>
      <c r="AM70" s="63" t="b">
        <v>1</v>
      </c>
      <c r="AN70" s="63" t="b">
        <v>1</v>
      </c>
      <c r="AO70" s="63" t="b">
        <v>1</v>
      </c>
      <c r="AP70" s="60"/>
      <c r="AQ70" s="54">
        <f t="shared" si="4"/>
        <v>9</v>
      </c>
    </row>
    <row r="71">
      <c r="A71" s="60" t="s">
        <v>408</v>
      </c>
      <c r="B71" s="60" t="s">
        <v>409</v>
      </c>
      <c r="C71" s="64" t="s">
        <v>410</v>
      </c>
      <c r="D71" s="60" t="s">
        <v>83</v>
      </c>
      <c r="E71" s="62">
        <f t="shared" si="1"/>
        <v>33</v>
      </c>
      <c r="F71" s="62">
        <f t="shared" si="2"/>
        <v>22</v>
      </c>
      <c r="G71" s="55">
        <f t="shared" si="3"/>
        <v>66.66666667</v>
      </c>
      <c r="H71" s="60"/>
      <c r="I71" s="63" t="b">
        <v>1</v>
      </c>
      <c r="J71" s="63" t="b">
        <v>1</v>
      </c>
      <c r="K71" s="63" t="b">
        <v>1</v>
      </c>
      <c r="L71" s="63" t="b">
        <v>1</v>
      </c>
      <c r="M71" s="63" t="b">
        <v>1</v>
      </c>
      <c r="N71" s="63" t="b">
        <v>1</v>
      </c>
      <c r="O71" s="63" t="b">
        <v>0</v>
      </c>
      <c r="P71" s="63" t="b">
        <v>1</v>
      </c>
      <c r="Q71" s="63" t="b">
        <v>0</v>
      </c>
      <c r="R71" s="63" t="b">
        <v>0</v>
      </c>
      <c r="S71" s="63" t="b">
        <v>1</v>
      </c>
      <c r="T71" s="63" t="b">
        <v>1</v>
      </c>
      <c r="U71" s="63" t="b">
        <v>1</v>
      </c>
      <c r="V71" s="63" t="b">
        <v>1</v>
      </c>
      <c r="W71" s="63" t="b">
        <v>1</v>
      </c>
      <c r="X71" s="63" t="b">
        <v>1</v>
      </c>
      <c r="Y71" s="63" t="b">
        <v>1</v>
      </c>
      <c r="Z71" s="63" t="b">
        <v>0</v>
      </c>
      <c r="AA71" s="63" t="b">
        <v>0</v>
      </c>
      <c r="AB71" s="63" t="b">
        <v>0</v>
      </c>
      <c r="AC71" s="63" t="b">
        <v>1</v>
      </c>
      <c r="AD71" s="63" t="b">
        <v>1</v>
      </c>
      <c r="AE71" s="63" t="b">
        <v>0</v>
      </c>
      <c r="AF71" s="63" t="b">
        <v>1</v>
      </c>
      <c r="AG71" s="63" t="b">
        <v>0</v>
      </c>
      <c r="AH71" s="63" t="b">
        <v>1</v>
      </c>
      <c r="AI71" s="63" t="b">
        <v>0</v>
      </c>
      <c r="AJ71" s="63" t="b">
        <v>0</v>
      </c>
      <c r="AK71" s="63" t="b">
        <v>1</v>
      </c>
      <c r="AL71" s="63" t="b">
        <v>1</v>
      </c>
      <c r="AM71" s="63" t="b">
        <v>0</v>
      </c>
      <c r="AN71" s="63" t="b">
        <v>1</v>
      </c>
      <c r="AO71" s="63" t="b">
        <v>1</v>
      </c>
      <c r="AP71" s="60"/>
      <c r="AQ71" s="54">
        <f t="shared" si="4"/>
        <v>5</v>
      </c>
    </row>
    <row r="72">
      <c r="A72" s="60" t="s">
        <v>411</v>
      </c>
      <c r="B72" s="60" t="s">
        <v>412</v>
      </c>
      <c r="C72" s="61" t="s">
        <v>413</v>
      </c>
      <c r="D72" s="60" t="s">
        <v>83</v>
      </c>
      <c r="E72" s="62">
        <f t="shared" si="1"/>
        <v>33</v>
      </c>
      <c r="F72" s="62">
        <f t="shared" si="2"/>
        <v>24</v>
      </c>
      <c r="G72" s="52">
        <f t="shared" si="3"/>
        <v>72.72727273</v>
      </c>
      <c r="H72" s="60"/>
      <c r="I72" s="63" t="b">
        <v>1</v>
      </c>
      <c r="J72" s="63" t="b">
        <v>1</v>
      </c>
      <c r="K72" s="63" t="b">
        <v>1</v>
      </c>
      <c r="L72" s="63" t="b">
        <v>1</v>
      </c>
      <c r="M72" s="63" t="b">
        <v>1</v>
      </c>
      <c r="N72" s="63" t="b">
        <v>1</v>
      </c>
      <c r="O72" s="63" t="b">
        <v>1</v>
      </c>
      <c r="P72" s="63" t="b">
        <v>1</v>
      </c>
      <c r="Q72" s="63" t="b">
        <v>0</v>
      </c>
      <c r="R72" s="63" t="b">
        <v>1</v>
      </c>
      <c r="S72" s="63" t="b">
        <v>1</v>
      </c>
      <c r="T72" s="63" t="b">
        <v>1</v>
      </c>
      <c r="U72" s="63" t="b">
        <v>0</v>
      </c>
      <c r="V72" s="63" t="b">
        <v>1</v>
      </c>
      <c r="W72" s="63" t="b">
        <v>1</v>
      </c>
      <c r="X72" s="63" t="b">
        <v>1</v>
      </c>
      <c r="Y72" s="63" t="b">
        <v>0</v>
      </c>
      <c r="Z72" s="63" t="b">
        <v>0</v>
      </c>
      <c r="AA72" s="63" t="b">
        <v>0</v>
      </c>
      <c r="AB72" s="63" t="b">
        <v>0</v>
      </c>
      <c r="AC72" s="63" t="b">
        <v>1</v>
      </c>
      <c r="AD72" s="63" t="b">
        <v>1</v>
      </c>
      <c r="AE72" s="63" t="b">
        <v>0</v>
      </c>
      <c r="AF72" s="63" t="b">
        <v>1</v>
      </c>
      <c r="AG72" s="63" t="b">
        <v>0</v>
      </c>
      <c r="AH72" s="63" t="b">
        <v>0</v>
      </c>
      <c r="AI72" s="63" t="b">
        <v>1</v>
      </c>
      <c r="AJ72" s="63" t="b">
        <v>1</v>
      </c>
      <c r="AK72" s="63" t="b">
        <v>1</v>
      </c>
      <c r="AL72" s="63" t="b">
        <v>1</v>
      </c>
      <c r="AM72" s="63" t="b">
        <v>1</v>
      </c>
      <c r="AN72" s="63" t="b">
        <v>1</v>
      </c>
      <c r="AO72" s="63" t="b">
        <v>1</v>
      </c>
      <c r="AP72" s="60"/>
      <c r="AQ72" s="54">
        <f t="shared" si="4"/>
        <v>7</v>
      </c>
    </row>
    <row r="73">
      <c r="A73" s="60" t="s">
        <v>414</v>
      </c>
      <c r="B73" s="60" t="s">
        <v>415</v>
      </c>
      <c r="C73" s="64" t="s">
        <v>416</v>
      </c>
      <c r="D73" s="60" t="s">
        <v>83</v>
      </c>
      <c r="E73" s="62">
        <f t="shared" si="1"/>
        <v>33</v>
      </c>
      <c r="F73" s="62">
        <f t="shared" si="2"/>
        <v>20</v>
      </c>
      <c r="G73" s="55">
        <f t="shared" si="3"/>
        <v>60.60606061</v>
      </c>
      <c r="H73" s="60"/>
      <c r="I73" s="63" t="b">
        <v>1</v>
      </c>
      <c r="J73" s="63" t="b">
        <v>1</v>
      </c>
      <c r="K73" s="63" t="b">
        <v>1</v>
      </c>
      <c r="L73" s="63" t="b">
        <v>1</v>
      </c>
      <c r="M73" s="63" t="b">
        <v>0</v>
      </c>
      <c r="N73" s="63" t="b">
        <v>0</v>
      </c>
      <c r="O73" s="63" t="b">
        <v>0</v>
      </c>
      <c r="P73" s="63" t="b">
        <v>0</v>
      </c>
      <c r="Q73" s="63" t="b">
        <v>1</v>
      </c>
      <c r="R73" s="63" t="b">
        <v>0</v>
      </c>
      <c r="S73" s="63" t="b">
        <v>1</v>
      </c>
      <c r="T73" s="63" t="b">
        <v>0</v>
      </c>
      <c r="U73" s="63" t="b">
        <v>0</v>
      </c>
      <c r="V73" s="63" t="b">
        <v>0</v>
      </c>
      <c r="W73" s="63" t="b">
        <v>1</v>
      </c>
      <c r="X73" s="63" t="b">
        <v>1</v>
      </c>
      <c r="Y73" s="63" t="b">
        <v>1</v>
      </c>
      <c r="Z73" s="63" t="b">
        <v>1</v>
      </c>
      <c r="AA73" s="63" t="b">
        <v>0</v>
      </c>
      <c r="AB73" s="63" t="b">
        <v>1</v>
      </c>
      <c r="AC73" s="63" t="b">
        <v>0</v>
      </c>
      <c r="AD73" s="63" t="b">
        <v>0</v>
      </c>
      <c r="AE73" s="63" t="b">
        <v>1</v>
      </c>
      <c r="AF73" s="63" t="b">
        <v>1</v>
      </c>
      <c r="AG73" s="63" t="b">
        <v>0</v>
      </c>
      <c r="AH73" s="63" t="b">
        <v>0</v>
      </c>
      <c r="AI73" s="63" t="b">
        <v>1</v>
      </c>
      <c r="AJ73" s="63" t="b">
        <v>1</v>
      </c>
      <c r="AK73" s="63" t="b">
        <v>1</v>
      </c>
      <c r="AL73" s="63" t="b">
        <v>1</v>
      </c>
      <c r="AM73" s="63" t="b">
        <v>1</v>
      </c>
      <c r="AN73" s="63" t="b">
        <v>1</v>
      </c>
      <c r="AO73" s="63" t="b">
        <v>1</v>
      </c>
      <c r="AP73" s="60"/>
      <c r="AQ73" s="54">
        <f t="shared" si="4"/>
        <v>7</v>
      </c>
    </row>
    <row r="74">
      <c r="A74" s="60" t="s">
        <v>417</v>
      </c>
      <c r="B74" s="60" t="s">
        <v>418</v>
      </c>
      <c r="C74" s="64" t="s">
        <v>419</v>
      </c>
      <c r="D74" s="60" t="s">
        <v>83</v>
      </c>
      <c r="E74" s="62">
        <f t="shared" si="1"/>
        <v>33</v>
      </c>
      <c r="F74" s="62">
        <f t="shared" si="2"/>
        <v>24</v>
      </c>
      <c r="G74" s="52">
        <f t="shared" si="3"/>
        <v>72.72727273</v>
      </c>
      <c r="H74" s="60"/>
      <c r="I74" s="63" t="b">
        <v>1</v>
      </c>
      <c r="J74" s="63" t="b">
        <v>1</v>
      </c>
      <c r="K74" s="63" t="b">
        <v>1</v>
      </c>
      <c r="L74" s="63" t="b">
        <v>0</v>
      </c>
      <c r="M74" s="63" t="b">
        <v>0</v>
      </c>
      <c r="N74" s="63" t="b">
        <v>0</v>
      </c>
      <c r="O74" s="63" t="b">
        <v>1</v>
      </c>
      <c r="P74" s="63" t="b">
        <v>0</v>
      </c>
      <c r="Q74" s="63" t="b">
        <v>1</v>
      </c>
      <c r="R74" s="63" t="b">
        <v>1</v>
      </c>
      <c r="S74" s="63" t="b">
        <v>1</v>
      </c>
      <c r="T74" s="63" t="b">
        <v>1</v>
      </c>
      <c r="U74" s="63" t="b">
        <v>1</v>
      </c>
      <c r="V74" s="63" t="b">
        <v>1</v>
      </c>
      <c r="W74" s="63" t="b">
        <v>1</v>
      </c>
      <c r="X74" s="63" t="b">
        <v>1</v>
      </c>
      <c r="Y74" s="63" t="b">
        <v>0</v>
      </c>
      <c r="Z74" s="63" t="b">
        <v>0</v>
      </c>
      <c r="AA74" s="63" t="b">
        <v>0</v>
      </c>
      <c r="AB74" s="63" t="b">
        <v>0</v>
      </c>
      <c r="AC74" s="63" t="b">
        <v>1</v>
      </c>
      <c r="AD74" s="63" t="b">
        <v>1</v>
      </c>
      <c r="AE74" s="63" t="b">
        <v>1</v>
      </c>
      <c r="AF74" s="63" t="b">
        <v>1</v>
      </c>
      <c r="AG74" s="63" t="b">
        <v>0</v>
      </c>
      <c r="AH74" s="63" t="b">
        <v>1</v>
      </c>
      <c r="AI74" s="63" t="b">
        <v>1</v>
      </c>
      <c r="AJ74" s="63" t="b">
        <v>1</v>
      </c>
      <c r="AK74" s="63" t="b">
        <v>1</v>
      </c>
      <c r="AL74" s="63" t="b">
        <v>1</v>
      </c>
      <c r="AM74" s="63" t="b">
        <v>1</v>
      </c>
      <c r="AN74" s="63" t="b">
        <v>1</v>
      </c>
      <c r="AO74" s="63" t="b">
        <v>1</v>
      </c>
      <c r="AP74" s="60"/>
      <c r="AQ74" s="54">
        <f t="shared" si="4"/>
        <v>8</v>
      </c>
    </row>
    <row r="75">
      <c r="A75" s="60" t="s">
        <v>420</v>
      </c>
      <c r="B75" s="60" t="s">
        <v>421</v>
      </c>
      <c r="C75" s="64" t="s">
        <v>422</v>
      </c>
      <c r="D75" s="60" t="s">
        <v>83</v>
      </c>
      <c r="E75" s="62">
        <f t="shared" si="1"/>
        <v>33</v>
      </c>
      <c r="F75" s="62">
        <f t="shared" si="2"/>
        <v>16</v>
      </c>
      <c r="G75" s="55">
        <f t="shared" si="3"/>
        <v>48.48484848</v>
      </c>
      <c r="H75" s="60"/>
      <c r="I75" s="63" t="b">
        <v>0</v>
      </c>
      <c r="J75" s="63" t="b">
        <v>0</v>
      </c>
      <c r="K75" s="63" t="b">
        <v>0</v>
      </c>
      <c r="L75" s="63" t="b">
        <v>0</v>
      </c>
      <c r="M75" s="63" t="b">
        <v>0</v>
      </c>
      <c r="N75" s="63" t="b">
        <v>0</v>
      </c>
      <c r="O75" s="63" t="b">
        <v>0</v>
      </c>
      <c r="P75" s="63" t="b">
        <v>0</v>
      </c>
      <c r="Q75" s="63" t="b">
        <v>0</v>
      </c>
      <c r="R75" s="63" t="b">
        <v>0</v>
      </c>
      <c r="S75" s="63" t="b">
        <v>1</v>
      </c>
      <c r="T75" s="63" t="b">
        <v>1</v>
      </c>
      <c r="U75" s="63" t="b">
        <v>0</v>
      </c>
      <c r="V75" s="63" t="b">
        <v>0</v>
      </c>
      <c r="W75" s="63" t="b">
        <v>1</v>
      </c>
      <c r="X75" s="63" t="b">
        <v>0</v>
      </c>
      <c r="Y75" s="63" t="b">
        <v>0</v>
      </c>
      <c r="Z75" s="63" t="b">
        <v>0</v>
      </c>
      <c r="AA75" s="63" t="b">
        <v>0</v>
      </c>
      <c r="AB75" s="63" t="b">
        <v>1</v>
      </c>
      <c r="AC75" s="63" t="b">
        <v>0</v>
      </c>
      <c r="AD75" s="63" t="b">
        <v>1</v>
      </c>
      <c r="AE75" s="63" t="b">
        <v>1</v>
      </c>
      <c r="AF75" s="63" t="b">
        <v>1</v>
      </c>
      <c r="AG75" s="63" t="b">
        <v>1</v>
      </c>
      <c r="AH75" s="63" t="b">
        <v>1</v>
      </c>
      <c r="AI75" s="63" t="b">
        <v>1</v>
      </c>
      <c r="AJ75" s="63" t="b">
        <v>1</v>
      </c>
      <c r="AK75" s="63" t="b">
        <v>1</v>
      </c>
      <c r="AL75" s="63" t="b">
        <v>1</v>
      </c>
      <c r="AM75" s="63" t="b">
        <v>1</v>
      </c>
      <c r="AN75" s="63" t="b">
        <v>1</v>
      </c>
      <c r="AO75" s="63" t="b">
        <v>1</v>
      </c>
      <c r="AP75" s="60"/>
      <c r="AQ75" s="54">
        <f t="shared" si="4"/>
        <v>9</v>
      </c>
    </row>
    <row r="76">
      <c r="A76" s="60" t="s">
        <v>423</v>
      </c>
      <c r="B76" s="60" t="s">
        <v>424</v>
      </c>
      <c r="C76" s="64" t="s">
        <v>425</v>
      </c>
      <c r="D76" s="60" t="s">
        <v>83</v>
      </c>
      <c r="E76" s="62">
        <f t="shared" si="1"/>
        <v>33</v>
      </c>
      <c r="F76" s="62">
        <f t="shared" si="2"/>
        <v>27</v>
      </c>
      <c r="G76" s="52">
        <f t="shared" si="3"/>
        <v>81.81818182</v>
      </c>
      <c r="H76" s="60"/>
      <c r="I76" s="63" t="b">
        <v>0</v>
      </c>
      <c r="J76" s="63" t="b">
        <v>1</v>
      </c>
      <c r="K76" s="63" t="b">
        <v>1</v>
      </c>
      <c r="L76" s="63" t="b">
        <v>1</v>
      </c>
      <c r="M76" s="63" t="b">
        <v>0</v>
      </c>
      <c r="N76" s="63" t="b">
        <v>1</v>
      </c>
      <c r="O76" s="63" t="b">
        <v>1</v>
      </c>
      <c r="P76" s="63" t="b">
        <v>1</v>
      </c>
      <c r="Q76" s="63" t="b">
        <v>1</v>
      </c>
      <c r="R76" s="63" t="b">
        <v>1</v>
      </c>
      <c r="S76" s="63" t="b">
        <v>1</v>
      </c>
      <c r="T76" s="63" t="b">
        <v>1</v>
      </c>
      <c r="U76" s="63" t="b">
        <v>0</v>
      </c>
      <c r="V76" s="63" t="b">
        <v>1</v>
      </c>
      <c r="W76" s="63" t="b">
        <v>1</v>
      </c>
      <c r="X76" s="63" t="b">
        <v>1</v>
      </c>
      <c r="Y76" s="63" t="b">
        <v>1</v>
      </c>
      <c r="Z76" s="63" t="b">
        <v>1</v>
      </c>
      <c r="AA76" s="63" t="b">
        <v>0</v>
      </c>
      <c r="AB76" s="63" t="b">
        <v>1</v>
      </c>
      <c r="AC76" s="63" t="b">
        <v>1</v>
      </c>
      <c r="AD76" s="63" t="b">
        <v>1</v>
      </c>
      <c r="AE76" s="63" t="b">
        <v>1</v>
      </c>
      <c r="AF76" s="63" t="b">
        <v>0</v>
      </c>
      <c r="AG76" s="63" t="b">
        <v>0</v>
      </c>
      <c r="AH76" s="63" t="b">
        <v>1</v>
      </c>
      <c r="AI76" s="63" t="b">
        <v>1</v>
      </c>
      <c r="AJ76" s="63" t="b">
        <v>1</v>
      </c>
      <c r="AK76" s="63" t="b">
        <v>1</v>
      </c>
      <c r="AL76" s="63" t="b">
        <v>1</v>
      </c>
      <c r="AM76" s="63" t="b">
        <v>1</v>
      </c>
      <c r="AN76" s="63" t="b">
        <v>1</v>
      </c>
      <c r="AO76" s="63" t="b">
        <v>1</v>
      </c>
      <c r="AP76" s="60"/>
      <c r="AQ76" s="54">
        <f t="shared" si="4"/>
        <v>8</v>
      </c>
    </row>
    <row r="77">
      <c r="A77" s="60" t="s">
        <v>426</v>
      </c>
      <c r="B77" s="60" t="s">
        <v>427</v>
      </c>
      <c r="C77" s="64" t="s">
        <v>428</v>
      </c>
      <c r="D77" s="60" t="s">
        <v>83</v>
      </c>
      <c r="E77" s="62">
        <f t="shared" si="1"/>
        <v>33</v>
      </c>
      <c r="F77" s="62">
        <f t="shared" si="2"/>
        <v>10</v>
      </c>
      <c r="G77" s="55">
        <f t="shared" si="3"/>
        <v>30.3030303</v>
      </c>
      <c r="H77" s="60"/>
      <c r="I77" s="63" t="b">
        <v>0</v>
      </c>
      <c r="J77" s="63" t="b">
        <v>1</v>
      </c>
      <c r="K77" s="63" t="b">
        <v>0</v>
      </c>
      <c r="L77" s="63" t="b">
        <v>0</v>
      </c>
      <c r="M77" s="63" t="b">
        <v>0</v>
      </c>
      <c r="N77" s="63" t="b">
        <v>0</v>
      </c>
      <c r="O77" s="63" t="b">
        <v>0</v>
      </c>
      <c r="P77" s="63" t="b">
        <v>0</v>
      </c>
      <c r="Q77" s="63" t="b">
        <v>0</v>
      </c>
      <c r="R77" s="63" t="b">
        <v>1</v>
      </c>
      <c r="S77" s="63" t="b">
        <v>0</v>
      </c>
      <c r="T77" s="63" t="b">
        <v>0</v>
      </c>
      <c r="U77" s="63" t="b">
        <v>0</v>
      </c>
      <c r="V77" s="63" t="b">
        <v>0</v>
      </c>
      <c r="W77" s="63" t="b">
        <v>0</v>
      </c>
      <c r="X77" s="63" t="b">
        <v>0</v>
      </c>
      <c r="Y77" s="63" t="b">
        <v>0</v>
      </c>
      <c r="Z77" s="63" t="b">
        <v>0</v>
      </c>
      <c r="AA77" s="63" t="b">
        <v>0</v>
      </c>
      <c r="AB77" s="63" t="b">
        <v>0</v>
      </c>
      <c r="AC77" s="63" t="b">
        <v>0</v>
      </c>
      <c r="AD77" s="63" t="b">
        <v>1</v>
      </c>
      <c r="AE77" s="63" t="b">
        <v>0</v>
      </c>
      <c r="AF77" s="63" t="b">
        <v>0</v>
      </c>
      <c r="AG77" s="63" t="b">
        <v>0</v>
      </c>
      <c r="AH77" s="63" t="b">
        <v>1</v>
      </c>
      <c r="AI77" s="63" t="b">
        <v>1</v>
      </c>
      <c r="AJ77" s="63" t="b">
        <v>1</v>
      </c>
      <c r="AK77" s="63" t="b">
        <v>0</v>
      </c>
      <c r="AL77" s="63" t="b">
        <v>1</v>
      </c>
      <c r="AM77" s="63" t="b">
        <v>1</v>
      </c>
      <c r="AN77" s="63" t="b">
        <v>1</v>
      </c>
      <c r="AO77" s="63" t="b">
        <v>1</v>
      </c>
      <c r="AP77" s="60"/>
      <c r="AQ77" s="54">
        <f t="shared" si="4"/>
        <v>7</v>
      </c>
    </row>
    <row r="78">
      <c r="A78" s="60" t="s">
        <v>429</v>
      </c>
      <c r="B78" s="60" t="s">
        <v>430</v>
      </c>
      <c r="C78" s="64" t="s">
        <v>431</v>
      </c>
      <c r="D78" s="60" t="s">
        <v>83</v>
      </c>
      <c r="E78" s="62">
        <f t="shared" si="1"/>
        <v>33</v>
      </c>
      <c r="F78" s="62">
        <f t="shared" si="2"/>
        <v>28</v>
      </c>
      <c r="G78" s="52">
        <f t="shared" si="3"/>
        <v>84.84848485</v>
      </c>
      <c r="H78" s="60"/>
      <c r="I78" s="63" t="b">
        <v>0</v>
      </c>
      <c r="J78" s="63" t="b">
        <v>0</v>
      </c>
      <c r="K78" s="63" t="b">
        <v>0</v>
      </c>
      <c r="L78" s="63" t="b">
        <v>0</v>
      </c>
      <c r="M78" s="63" t="b">
        <v>0</v>
      </c>
      <c r="N78" s="63" t="b">
        <v>1</v>
      </c>
      <c r="O78" s="63" t="b">
        <v>1</v>
      </c>
      <c r="P78" s="63" t="b">
        <v>1</v>
      </c>
      <c r="Q78" s="63" t="b">
        <v>1</v>
      </c>
      <c r="R78" s="63" t="b">
        <v>1</v>
      </c>
      <c r="S78" s="63" t="b">
        <v>1</v>
      </c>
      <c r="T78" s="63" t="b">
        <v>1</v>
      </c>
      <c r="U78" s="63" t="b">
        <v>1</v>
      </c>
      <c r="V78" s="63" t="b">
        <v>1</v>
      </c>
      <c r="W78" s="63" t="b">
        <v>1</v>
      </c>
      <c r="X78" s="63" t="b">
        <v>1</v>
      </c>
      <c r="Y78" s="63" t="b">
        <v>1</v>
      </c>
      <c r="Z78" s="63" t="b">
        <v>1</v>
      </c>
      <c r="AA78" s="63" t="b">
        <v>1</v>
      </c>
      <c r="AB78" s="63" t="b">
        <v>1</v>
      </c>
      <c r="AC78" s="63" t="b">
        <v>1</v>
      </c>
      <c r="AD78" s="63" t="b">
        <v>1</v>
      </c>
      <c r="AE78" s="63" t="b">
        <v>1</v>
      </c>
      <c r="AF78" s="63" t="b">
        <v>1</v>
      </c>
      <c r="AG78" s="63" t="b">
        <v>1</v>
      </c>
      <c r="AH78" s="63" t="b">
        <v>1</v>
      </c>
      <c r="AI78" s="63" t="b">
        <v>1</v>
      </c>
      <c r="AJ78" s="63" t="b">
        <v>1</v>
      </c>
      <c r="AK78" s="63" t="b">
        <v>1</v>
      </c>
      <c r="AL78" s="63" t="b">
        <v>1</v>
      </c>
      <c r="AM78" s="63" t="b">
        <v>1</v>
      </c>
      <c r="AN78" s="63" t="b">
        <v>1</v>
      </c>
      <c r="AO78" s="63" t="b">
        <v>1</v>
      </c>
      <c r="AP78" s="60"/>
      <c r="AQ78" s="54">
        <f t="shared" si="4"/>
        <v>9</v>
      </c>
    </row>
    <row r="79">
      <c r="A79" s="60" t="s">
        <v>432</v>
      </c>
      <c r="B79" s="60" t="s">
        <v>433</v>
      </c>
      <c r="C79" s="64" t="s">
        <v>434</v>
      </c>
      <c r="D79" s="60" t="s">
        <v>83</v>
      </c>
      <c r="E79" s="62">
        <f t="shared" si="1"/>
        <v>33</v>
      </c>
      <c r="F79" s="62">
        <f t="shared" si="2"/>
        <v>25</v>
      </c>
      <c r="G79" s="52">
        <f t="shared" si="3"/>
        <v>75.75757576</v>
      </c>
      <c r="H79" s="60"/>
      <c r="I79" s="63" t="b">
        <v>0</v>
      </c>
      <c r="J79" s="63" t="b">
        <v>1</v>
      </c>
      <c r="K79" s="63" t="b">
        <v>0</v>
      </c>
      <c r="L79" s="63" t="b">
        <v>1</v>
      </c>
      <c r="M79" s="63" t="b">
        <v>1</v>
      </c>
      <c r="N79" s="63" t="b">
        <v>1</v>
      </c>
      <c r="O79" s="63" t="b">
        <v>0</v>
      </c>
      <c r="P79" s="63" t="b">
        <v>1</v>
      </c>
      <c r="Q79" s="63" t="b">
        <v>1</v>
      </c>
      <c r="R79" s="63" t="b">
        <v>1</v>
      </c>
      <c r="S79" s="63" t="b">
        <v>1</v>
      </c>
      <c r="T79" s="63" t="b">
        <v>1</v>
      </c>
      <c r="U79" s="63" t="b">
        <v>0</v>
      </c>
      <c r="V79" s="63" t="b">
        <v>1</v>
      </c>
      <c r="W79" s="63" t="b">
        <v>1</v>
      </c>
      <c r="X79" s="63" t="b">
        <v>1</v>
      </c>
      <c r="Y79" s="63" t="b">
        <v>1</v>
      </c>
      <c r="Z79" s="63" t="b">
        <v>1</v>
      </c>
      <c r="AA79" s="63" t="b">
        <v>0</v>
      </c>
      <c r="AB79" s="63" t="b">
        <v>1</v>
      </c>
      <c r="AC79" s="63" t="b">
        <v>1</v>
      </c>
      <c r="AD79" s="63" t="b">
        <v>0</v>
      </c>
      <c r="AE79" s="63" t="b">
        <v>1</v>
      </c>
      <c r="AF79" s="63" t="b">
        <v>0</v>
      </c>
      <c r="AG79" s="63" t="b">
        <v>1</v>
      </c>
      <c r="AH79" s="63" t="b">
        <v>0</v>
      </c>
      <c r="AI79" s="63" t="b">
        <v>1</v>
      </c>
      <c r="AJ79" s="63" t="b">
        <v>1</v>
      </c>
      <c r="AK79" s="63" t="b">
        <v>1</v>
      </c>
      <c r="AL79" s="63" t="b">
        <v>1</v>
      </c>
      <c r="AM79" s="63" t="b">
        <v>1</v>
      </c>
      <c r="AN79" s="63" t="b">
        <v>1</v>
      </c>
      <c r="AO79" s="63" t="b">
        <v>1</v>
      </c>
      <c r="AP79" s="60"/>
      <c r="AQ79" s="54">
        <f t="shared" si="4"/>
        <v>8</v>
      </c>
    </row>
    <row r="80">
      <c r="A80" s="60" t="s">
        <v>435</v>
      </c>
      <c r="B80" s="60" t="s">
        <v>436</v>
      </c>
      <c r="C80" s="64" t="s">
        <v>437</v>
      </c>
      <c r="D80" s="60" t="s">
        <v>83</v>
      </c>
      <c r="E80" s="62">
        <f t="shared" si="1"/>
        <v>33</v>
      </c>
      <c r="F80" s="62">
        <f t="shared" si="2"/>
        <v>29</v>
      </c>
      <c r="G80" s="52">
        <f t="shared" si="3"/>
        <v>87.87878788</v>
      </c>
      <c r="H80" s="60"/>
      <c r="I80" s="63" t="b">
        <v>1</v>
      </c>
      <c r="J80" s="63" t="b">
        <v>1</v>
      </c>
      <c r="K80" s="63" t="b">
        <v>1</v>
      </c>
      <c r="L80" s="63" t="b">
        <v>1</v>
      </c>
      <c r="M80" s="63" t="b">
        <v>1</v>
      </c>
      <c r="N80" s="63" t="b">
        <v>1</v>
      </c>
      <c r="O80" s="63" t="b">
        <v>0</v>
      </c>
      <c r="P80" s="63" t="b">
        <v>1</v>
      </c>
      <c r="Q80" s="63" t="b">
        <v>1</v>
      </c>
      <c r="R80" s="63" t="b">
        <v>1</v>
      </c>
      <c r="S80" s="63" t="b">
        <v>1</v>
      </c>
      <c r="T80" s="63" t="b">
        <v>1</v>
      </c>
      <c r="U80" s="63" t="b">
        <v>1</v>
      </c>
      <c r="V80" s="63" t="b">
        <v>1</v>
      </c>
      <c r="W80" s="63" t="b">
        <v>1</v>
      </c>
      <c r="X80" s="63" t="b">
        <v>1</v>
      </c>
      <c r="Y80" s="63" t="b">
        <v>0</v>
      </c>
      <c r="Z80" s="63" t="b">
        <v>1</v>
      </c>
      <c r="AA80" s="63" t="b">
        <v>0</v>
      </c>
      <c r="AB80" s="63" t="b">
        <v>0</v>
      </c>
      <c r="AC80" s="63" t="b">
        <v>1</v>
      </c>
      <c r="AD80" s="63" t="b">
        <v>1</v>
      </c>
      <c r="AE80" s="63" t="b">
        <v>1</v>
      </c>
      <c r="AF80" s="63" t="b">
        <v>1</v>
      </c>
      <c r="AG80" s="63" t="b">
        <v>1</v>
      </c>
      <c r="AH80" s="63" t="b">
        <v>1</v>
      </c>
      <c r="AI80" s="63" t="b">
        <v>1</v>
      </c>
      <c r="AJ80" s="63" t="b">
        <v>1</v>
      </c>
      <c r="AK80" s="63" t="b">
        <v>1</v>
      </c>
      <c r="AL80" s="63" t="b">
        <v>1</v>
      </c>
      <c r="AM80" s="63" t="b">
        <v>1</v>
      </c>
      <c r="AN80" s="63" t="b">
        <v>1</v>
      </c>
      <c r="AO80" s="63" t="b">
        <v>1</v>
      </c>
      <c r="AP80" s="60"/>
      <c r="AQ80" s="54">
        <f t="shared" si="4"/>
        <v>9</v>
      </c>
    </row>
    <row r="81">
      <c r="A81" s="60" t="s">
        <v>438</v>
      </c>
      <c r="B81" s="60" t="s">
        <v>439</v>
      </c>
      <c r="C81" s="61">
        <v>8.21873273E9</v>
      </c>
      <c r="D81" s="60" t="s">
        <v>83</v>
      </c>
      <c r="E81" s="62">
        <f t="shared" si="1"/>
        <v>33</v>
      </c>
      <c r="F81" s="62">
        <f t="shared" si="2"/>
        <v>25</v>
      </c>
      <c r="G81" s="52">
        <f t="shared" si="3"/>
        <v>75.75757576</v>
      </c>
      <c r="H81" s="60"/>
      <c r="I81" s="63" t="b">
        <v>0</v>
      </c>
      <c r="J81" s="63" t="b">
        <v>1</v>
      </c>
      <c r="K81" s="63" t="b">
        <v>1</v>
      </c>
      <c r="L81" s="63" t="b">
        <v>1</v>
      </c>
      <c r="M81" s="63" t="b">
        <v>1</v>
      </c>
      <c r="N81" s="63" t="b">
        <v>1</v>
      </c>
      <c r="O81" s="63" t="b">
        <v>0</v>
      </c>
      <c r="P81" s="63" t="b">
        <v>0</v>
      </c>
      <c r="Q81" s="63" t="b">
        <v>0</v>
      </c>
      <c r="R81" s="63" t="b">
        <v>1</v>
      </c>
      <c r="S81" s="63" t="b">
        <v>0</v>
      </c>
      <c r="T81" s="63" t="b">
        <v>0</v>
      </c>
      <c r="U81" s="63" t="b">
        <v>1</v>
      </c>
      <c r="V81" s="63" t="b">
        <v>0</v>
      </c>
      <c r="W81" s="63" t="b">
        <v>1</v>
      </c>
      <c r="X81" s="63" t="b">
        <v>1</v>
      </c>
      <c r="Y81" s="63" t="b">
        <v>1</v>
      </c>
      <c r="Z81" s="63" t="b">
        <v>1</v>
      </c>
      <c r="AA81" s="63" t="b">
        <v>1</v>
      </c>
      <c r="AB81" s="63" t="b">
        <v>1</v>
      </c>
      <c r="AC81" s="63" t="b">
        <v>1</v>
      </c>
      <c r="AD81" s="63" t="b">
        <v>1</v>
      </c>
      <c r="AE81" s="63" t="b">
        <v>1</v>
      </c>
      <c r="AF81" s="63" t="b">
        <v>1</v>
      </c>
      <c r="AG81" s="63" t="b">
        <v>0</v>
      </c>
      <c r="AH81" s="63" t="b">
        <v>1</v>
      </c>
      <c r="AI81" s="63" t="b">
        <v>1</v>
      </c>
      <c r="AJ81" s="63" t="b">
        <v>1</v>
      </c>
      <c r="AK81" s="63" t="b">
        <v>1</v>
      </c>
      <c r="AL81" s="63" t="b">
        <v>1</v>
      </c>
      <c r="AM81" s="63" t="b">
        <v>1</v>
      </c>
      <c r="AN81" s="63" t="b">
        <v>1</v>
      </c>
      <c r="AO81" s="63" t="b">
        <v>1</v>
      </c>
      <c r="AP81" s="60"/>
      <c r="AQ81" s="54">
        <f t="shared" si="4"/>
        <v>8</v>
      </c>
    </row>
    <row r="82">
      <c r="A82" s="60" t="s">
        <v>440</v>
      </c>
      <c r="B82" s="60" t="s">
        <v>441</v>
      </c>
      <c r="C82" s="64" t="s">
        <v>442</v>
      </c>
      <c r="D82" s="60" t="s">
        <v>83</v>
      </c>
      <c r="E82" s="62">
        <f t="shared" si="1"/>
        <v>33</v>
      </c>
      <c r="F82" s="62">
        <f t="shared" si="2"/>
        <v>22</v>
      </c>
      <c r="G82" s="55">
        <f t="shared" si="3"/>
        <v>66.66666667</v>
      </c>
      <c r="H82" s="60"/>
      <c r="I82" s="63" t="b">
        <v>0</v>
      </c>
      <c r="J82" s="63" t="b">
        <v>0</v>
      </c>
      <c r="K82" s="63" t="b">
        <v>0</v>
      </c>
      <c r="L82" s="63" t="b">
        <v>0</v>
      </c>
      <c r="M82" s="63" t="b">
        <v>1</v>
      </c>
      <c r="N82" s="63" t="b">
        <v>1</v>
      </c>
      <c r="O82" s="63" t="b">
        <v>1</v>
      </c>
      <c r="P82" s="63" t="b">
        <v>1</v>
      </c>
      <c r="Q82" s="63" t="b">
        <v>1</v>
      </c>
      <c r="R82" s="63" t="b">
        <v>1</v>
      </c>
      <c r="S82" s="63" t="b">
        <v>1</v>
      </c>
      <c r="T82" s="63" t="b">
        <v>0</v>
      </c>
      <c r="U82" s="63" t="b">
        <v>0</v>
      </c>
      <c r="V82" s="63" t="b">
        <v>1</v>
      </c>
      <c r="W82" s="63" t="b">
        <v>1</v>
      </c>
      <c r="X82" s="63" t="b">
        <v>1</v>
      </c>
      <c r="Y82" s="63" t="b">
        <v>0</v>
      </c>
      <c r="Z82" s="63" t="b">
        <v>1</v>
      </c>
      <c r="AA82" s="63" t="b">
        <v>0</v>
      </c>
      <c r="AB82" s="63" t="b">
        <v>1</v>
      </c>
      <c r="AC82" s="63" t="b">
        <v>1</v>
      </c>
      <c r="AD82" s="63" t="b">
        <v>1</v>
      </c>
      <c r="AE82" s="63" t="b">
        <v>1</v>
      </c>
      <c r="AF82" s="63" t="b">
        <v>1</v>
      </c>
      <c r="AG82" s="63" t="b">
        <v>0</v>
      </c>
      <c r="AH82" s="63" t="b">
        <v>0</v>
      </c>
      <c r="AI82" s="63" t="b">
        <v>1</v>
      </c>
      <c r="AJ82" s="63" t="b">
        <v>1</v>
      </c>
      <c r="AK82" s="63" t="b">
        <v>0</v>
      </c>
      <c r="AL82" s="63" t="b">
        <v>1</v>
      </c>
      <c r="AM82" s="63" t="b">
        <v>1</v>
      </c>
      <c r="AN82" s="63" t="b">
        <v>1</v>
      </c>
      <c r="AO82" s="63" t="b">
        <v>1</v>
      </c>
      <c r="AP82" s="60"/>
      <c r="AQ82" s="54">
        <f t="shared" si="4"/>
        <v>6</v>
      </c>
    </row>
    <row r="83">
      <c r="A83" s="60" t="s">
        <v>443</v>
      </c>
      <c r="B83" s="60" t="s">
        <v>444</v>
      </c>
      <c r="C83" s="61">
        <v>9.889613805E9</v>
      </c>
      <c r="D83" s="60" t="s">
        <v>83</v>
      </c>
      <c r="E83" s="62">
        <f t="shared" si="1"/>
        <v>33</v>
      </c>
      <c r="F83" s="62">
        <f t="shared" si="2"/>
        <v>33</v>
      </c>
      <c r="G83" s="52">
        <f t="shared" si="3"/>
        <v>100</v>
      </c>
      <c r="H83" s="60"/>
      <c r="I83" s="63" t="b">
        <v>1</v>
      </c>
      <c r="J83" s="63" t="b">
        <v>1</v>
      </c>
      <c r="K83" s="63" t="b">
        <v>1</v>
      </c>
      <c r="L83" s="63" t="b">
        <v>1</v>
      </c>
      <c r="M83" s="63" t="b">
        <v>1</v>
      </c>
      <c r="N83" s="63" t="b">
        <v>1</v>
      </c>
      <c r="O83" s="63" t="b">
        <v>1</v>
      </c>
      <c r="P83" s="63" t="b">
        <v>1</v>
      </c>
      <c r="Q83" s="63" t="b">
        <v>1</v>
      </c>
      <c r="R83" s="63" t="b">
        <v>1</v>
      </c>
      <c r="S83" s="63" t="b">
        <v>1</v>
      </c>
      <c r="T83" s="63" t="b">
        <v>1</v>
      </c>
      <c r="U83" s="63" t="b">
        <v>1</v>
      </c>
      <c r="V83" s="63" t="b">
        <v>1</v>
      </c>
      <c r="W83" s="63" t="b">
        <v>1</v>
      </c>
      <c r="X83" s="63" t="b">
        <v>1</v>
      </c>
      <c r="Y83" s="63" t="b">
        <v>1</v>
      </c>
      <c r="Z83" s="63" t="b">
        <v>1</v>
      </c>
      <c r="AA83" s="63" t="b">
        <v>1</v>
      </c>
      <c r="AB83" s="63" t="b">
        <v>1</v>
      </c>
      <c r="AC83" s="63" t="b">
        <v>1</v>
      </c>
      <c r="AD83" s="63" t="b">
        <v>1</v>
      </c>
      <c r="AE83" s="63" t="b">
        <v>1</v>
      </c>
      <c r="AF83" s="63" t="b">
        <v>1</v>
      </c>
      <c r="AG83" s="63" t="b">
        <v>1</v>
      </c>
      <c r="AH83" s="63" t="b">
        <v>1</v>
      </c>
      <c r="AI83" s="63" t="b">
        <v>1</v>
      </c>
      <c r="AJ83" s="63" t="b">
        <v>1</v>
      </c>
      <c r="AK83" s="63" t="b">
        <v>1</v>
      </c>
      <c r="AL83" s="63" t="b">
        <v>1</v>
      </c>
      <c r="AM83" s="63" t="b">
        <v>1</v>
      </c>
      <c r="AN83" s="63" t="b">
        <v>1</v>
      </c>
      <c r="AO83" s="63" t="b">
        <v>1</v>
      </c>
      <c r="AP83" s="60"/>
      <c r="AQ83" s="54">
        <f t="shared" si="4"/>
        <v>9</v>
      </c>
    </row>
    <row r="84">
      <c r="A84" s="60" t="s">
        <v>445</v>
      </c>
      <c r="B84" s="60" t="s">
        <v>446</v>
      </c>
      <c r="C84" s="64" t="s">
        <v>447</v>
      </c>
      <c r="D84" s="60" t="s">
        <v>83</v>
      </c>
      <c r="E84" s="62">
        <f t="shared" si="1"/>
        <v>33</v>
      </c>
      <c r="F84" s="62">
        <f t="shared" si="2"/>
        <v>19</v>
      </c>
      <c r="G84" s="55">
        <f t="shared" si="3"/>
        <v>57.57575758</v>
      </c>
      <c r="H84" s="60"/>
      <c r="I84" s="63" t="b">
        <v>1</v>
      </c>
      <c r="J84" s="63" t="b">
        <v>1</v>
      </c>
      <c r="K84" s="63" t="b">
        <v>0</v>
      </c>
      <c r="L84" s="63" t="b">
        <v>0</v>
      </c>
      <c r="M84" s="63" t="b">
        <v>0</v>
      </c>
      <c r="N84" s="63" t="b">
        <v>1</v>
      </c>
      <c r="O84" s="63" t="b">
        <v>0</v>
      </c>
      <c r="P84" s="63" t="b">
        <v>0</v>
      </c>
      <c r="Q84" s="63" t="b">
        <v>0</v>
      </c>
      <c r="R84" s="63" t="b">
        <v>0</v>
      </c>
      <c r="S84" s="63" t="b">
        <v>0</v>
      </c>
      <c r="T84" s="63" t="b">
        <v>0</v>
      </c>
      <c r="U84" s="63" t="b">
        <v>0</v>
      </c>
      <c r="V84" s="63" t="b">
        <v>1</v>
      </c>
      <c r="W84" s="63" t="b">
        <v>0</v>
      </c>
      <c r="X84" s="63" t="b">
        <v>0</v>
      </c>
      <c r="Y84" s="63" t="b">
        <v>1</v>
      </c>
      <c r="Z84" s="63" t="b">
        <v>1</v>
      </c>
      <c r="AA84" s="63" t="b">
        <v>1</v>
      </c>
      <c r="AB84" s="63" t="b">
        <v>1</v>
      </c>
      <c r="AC84" s="63" t="b">
        <v>1</v>
      </c>
      <c r="AD84" s="63" t="b">
        <v>1</v>
      </c>
      <c r="AE84" s="63" t="b">
        <v>1</v>
      </c>
      <c r="AF84" s="63" t="b">
        <v>0</v>
      </c>
      <c r="AG84" s="63" t="b">
        <v>0</v>
      </c>
      <c r="AH84" s="63" t="b">
        <v>1</v>
      </c>
      <c r="AI84" s="63" t="b">
        <v>1</v>
      </c>
      <c r="AJ84" s="63" t="b">
        <v>1</v>
      </c>
      <c r="AK84" s="63" t="b">
        <v>1</v>
      </c>
      <c r="AL84" s="63" t="b">
        <v>1</v>
      </c>
      <c r="AM84" s="63" t="b">
        <v>1</v>
      </c>
      <c r="AN84" s="63" t="b">
        <v>1</v>
      </c>
      <c r="AO84" s="63" t="b">
        <v>1</v>
      </c>
      <c r="AP84" s="60"/>
      <c r="AQ84" s="54">
        <f t="shared" si="4"/>
        <v>8</v>
      </c>
    </row>
    <row r="85">
      <c r="A85" s="60" t="s">
        <v>448</v>
      </c>
      <c r="B85" s="60" t="s">
        <v>449</v>
      </c>
      <c r="C85" s="64" t="s">
        <v>450</v>
      </c>
      <c r="D85" s="60" t="s">
        <v>83</v>
      </c>
      <c r="E85" s="62">
        <f t="shared" si="1"/>
        <v>33</v>
      </c>
      <c r="F85" s="62">
        <f t="shared" si="2"/>
        <v>26</v>
      </c>
      <c r="G85" s="52">
        <f t="shared" si="3"/>
        <v>78.78787879</v>
      </c>
      <c r="H85" s="60"/>
      <c r="I85" s="63" t="b">
        <v>1</v>
      </c>
      <c r="J85" s="63" t="b">
        <v>1</v>
      </c>
      <c r="K85" s="63" t="b">
        <v>1</v>
      </c>
      <c r="L85" s="63" t="b">
        <v>1</v>
      </c>
      <c r="M85" s="63" t="b">
        <v>1</v>
      </c>
      <c r="N85" s="63" t="b">
        <v>1</v>
      </c>
      <c r="O85" s="63" t="b">
        <v>1</v>
      </c>
      <c r="P85" s="63" t="b">
        <v>1</v>
      </c>
      <c r="Q85" s="63" t="b">
        <v>1</v>
      </c>
      <c r="R85" s="63" t="b">
        <v>1</v>
      </c>
      <c r="S85" s="63" t="b">
        <v>1</v>
      </c>
      <c r="T85" s="63" t="b">
        <v>1</v>
      </c>
      <c r="U85" s="63" t="b">
        <v>1</v>
      </c>
      <c r="V85" s="63" t="b">
        <v>1</v>
      </c>
      <c r="W85" s="63" t="b">
        <v>1</v>
      </c>
      <c r="X85" s="63" t="b">
        <v>1</v>
      </c>
      <c r="Y85" s="63" t="b">
        <v>0</v>
      </c>
      <c r="Z85" s="63" t="b">
        <v>1</v>
      </c>
      <c r="AA85" s="63" t="b">
        <v>0</v>
      </c>
      <c r="AB85" s="63" t="b">
        <v>0</v>
      </c>
      <c r="AC85" s="63" t="b">
        <v>1</v>
      </c>
      <c r="AD85" s="63" t="b">
        <v>1</v>
      </c>
      <c r="AE85" s="63" t="b">
        <v>0</v>
      </c>
      <c r="AF85" s="63" t="b">
        <v>0</v>
      </c>
      <c r="AG85" s="63" t="b">
        <v>0</v>
      </c>
      <c r="AH85" s="63" t="b">
        <v>0</v>
      </c>
      <c r="AI85" s="63" t="b">
        <v>1</v>
      </c>
      <c r="AJ85" s="63" t="b">
        <v>1</v>
      </c>
      <c r="AK85" s="63" t="b">
        <v>1</v>
      </c>
      <c r="AL85" s="63" t="b">
        <v>1</v>
      </c>
      <c r="AM85" s="63" t="b">
        <v>1</v>
      </c>
      <c r="AN85" s="63" t="b">
        <v>1</v>
      </c>
      <c r="AO85" s="63" t="b">
        <v>1</v>
      </c>
      <c r="AP85" s="60"/>
      <c r="AQ85" s="54">
        <f t="shared" si="4"/>
        <v>7</v>
      </c>
    </row>
    <row r="86">
      <c r="A86" s="60" t="s">
        <v>451</v>
      </c>
      <c r="B86" s="60" t="s">
        <v>452</v>
      </c>
      <c r="C86" s="64" t="s">
        <v>453</v>
      </c>
      <c r="D86" s="60" t="s">
        <v>83</v>
      </c>
      <c r="E86" s="62">
        <f t="shared" si="1"/>
        <v>33</v>
      </c>
      <c r="F86" s="62">
        <f t="shared" si="2"/>
        <v>33</v>
      </c>
      <c r="G86" s="52">
        <f t="shared" si="3"/>
        <v>100</v>
      </c>
      <c r="H86" s="60"/>
      <c r="I86" s="63" t="b">
        <v>1</v>
      </c>
      <c r="J86" s="63" t="b">
        <v>1</v>
      </c>
      <c r="K86" s="63" t="b">
        <v>1</v>
      </c>
      <c r="L86" s="63" t="b">
        <v>1</v>
      </c>
      <c r="M86" s="63" t="b">
        <v>1</v>
      </c>
      <c r="N86" s="63" t="b">
        <v>1</v>
      </c>
      <c r="O86" s="63" t="b">
        <v>1</v>
      </c>
      <c r="P86" s="63" t="b">
        <v>1</v>
      </c>
      <c r="Q86" s="63" t="b">
        <v>1</v>
      </c>
      <c r="R86" s="63" t="b">
        <v>1</v>
      </c>
      <c r="S86" s="63" t="b">
        <v>1</v>
      </c>
      <c r="T86" s="63" t="b">
        <v>1</v>
      </c>
      <c r="U86" s="63" t="b">
        <v>1</v>
      </c>
      <c r="V86" s="63" t="b">
        <v>1</v>
      </c>
      <c r="W86" s="63" t="b">
        <v>1</v>
      </c>
      <c r="X86" s="63" t="b">
        <v>1</v>
      </c>
      <c r="Y86" s="63" t="b">
        <v>1</v>
      </c>
      <c r="Z86" s="63" t="b">
        <v>1</v>
      </c>
      <c r="AA86" s="63" t="b">
        <v>1</v>
      </c>
      <c r="AB86" s="63" t="b">
        <v>1</v>
      </c>
      <c r="AC86" s="63" t="b">
        <v>1</v>
      </c>
      <c r="AD86" s="63" t="b">
        <v>1</v>
      </c>
      <c r="AE86" s="63" t="b">
        <v>1</v>
      </c>
      <c r="AF86" s="63" t="b">
        <v>1</v>
      </c>
      <c r="AG86" s="63" t="b">
        <v>1</v>
      </c>
      <c r="AH86" s="63" t="b">
        <v>1</v>
      </c>
      <c r="AI86" s="63" t="b">
        <v>1</v>
      </c>
      <c r="AJ86" s="63" t="b">
        <v>1</v>
      </c>
      <c r="AK86" s="63" t="b">
        <v>1</v>
      </c>
      <c r="AL86" s="63" t="b">
        <v>1</v>
      </c>
      <c r="AM86" s="63" t="b">
        <v>1</v>
      </c>
      <c r="AN86" s="63" t="b">
        <v>1</v>
      </c>
      <c r="AO86" s="63" t="b">
        <v>1</v>
      </c>
      <c r="AP86" s="60"/>
      <c r="AQ86" s="54">
        <f t="shared" si="4"/>
        <v>9</v>
      </c>
    </row>
    <row r="87">
      <c r="A87" s="60" t="s">
        <v>454</v>
      </c>
      <c r="B87" s="60" t="s">
        <v>455</v>
      </c>
      <c r="C87" s="64" t="s">
        <v>456</v>
      </c>
      <c r="D87" s="60" t="s">
        <v>83</v>
      </c>
      <c r="E87" s="62">
        <f t="shared" si="1"/>
        <v>33</v>
      </c>
      <c r="F87" s="62">
        <f t="shared" si="2"/>
        <v>27</v>
      </c>
      <c r="G87" s="52">
        <f t="shared" si="3"/>
        <v>81.81818182</v>
      </c>
      <c r="H87" s="60"/>
      <c r="I87" s="63" t="b">
        <v>0</v>
      </c>
      <c r="J87" s="63" t="b">
        <v>0</v>
      </c>
      <c r="K87" s="63" t="b">
        <v>1</v>
      </c>
      <c r="L87" s="63" t="b">
        <v>1</v>
      </c>
      <c r="M87" s="63" t="b">
        <v>0</v>
      </c>
      <c r="N87" s="63" t="b">
        <v>1</v>
      </c>
      <c r="O87" s="63" t="b">
        <v>0</v>
      </c>
      <c r="P87" s="63" t="b">
        <v>0</v>
      </c>
      <c r="Q87" s="63" t="b">
        <v>1</v>
      </c>
      <c r="R87" s="63" t="b">
        <v>1</v>
      </c>
      <c r="S87" s="63" t="b">
        <v>0</v>
      </c>
      <c r="T87" s="63" t="b">
        <v>1</v>
      </c>
      <c r="U87" s="63" t="b">
        <v>1</v>
      </c>
      <c r="V87" s="63" t="b">
        <v>1</v>
      </c>
      <c r="W87" s="63" t="b">
        <v>1</v>
      </c>
      <c r="X87" s="63" t="b">
        <v>1</v>
      </c>
      <c r="Y87" s="63" t="b">
        <v>1</v>
      </c>
      <c r="Z87" s="63" t="b">
        <v>1</v>
      </c>
      <c r="AA87" s="63" t="b">
        <v>1</v>
      </c>
      <c r="AB87" s="63" t="b">
        <v>1</v>
      </c>
      <c r="AC87" s="63" t="b">
        <v>1</v>
      </c>
      <c r="AD87" s="63" t="b">
        <v>1</v>
      </c>
      <c r="AE87" s="63" t="b">
        <v>1</v>
      </c>
      <c r="AF87" s="63" t="b">
        <v>1</v>
      </c>
      <c r="AG87" s="63" t="b">
        <v>1</v>
      </c>
      <c r="AH87" s="63" t="b">
        <v>1</v>
      </c>
      <c r="AI87" s="63" t="b">
        <v>1</v>
      </c>
      <c r="AJ87" s="63" t="b">
        <v>1</v>
      </c>
      <c r="AK87" s="63" t="b">
        <v>1</v>
      </c>
      <c r="AL87" s="63" t="b">
        <v>1</v>
      </c>
      <c r="AM87" s="63" t="b">
        <v>1</v>
      </c>
      <c r="AN87" s="63" t="b">
        <v>1</v>
      </c>
      <c r="AO87" s="63" t="b">
        <v>1</v>
      </c>
      <c r="AP87" s="60"/>
      <c r="AQ87" s="54">
        <f t="shared" si="4"/>
        <v>9</v>
      </c>
    </row>
    <row r="88">
      <c r="A88" s="60" t="s">
        <v>457</v>
      </c>
      <c r="B88" s="60"/>
      <c r="C88" s="61" t="s">
        <v>458</v>
      </c>
      <c r="D88" s="60" t="s">
        <v>83</v>
      </c>
      <c r="E88" s="62">
        <f t="shared" si="1"/>
        <v>33</v>
      </c>
      <c r="F88" s="62">
        <f t="shared" si="2"/>
        <v>6</v>
      </c>
      <c r="G88" s="55">
        <f t="shared" si="3"/>
        <v>18.18181818</v>
      </c>
      <c r="H88" s="60"/>
      <c r="I88" s="63" t="b">
        <v>0</v>
      </c>
      <c r="J88" s="63" t="b">
        <v>0</v>
      </c>
      <c r="K88" s="63" t="b">
        <v>0</v>
      </c>
      <c r="L88" s="63" t="b">
        <v>0</v>
      </c>
      <c r="M88" s="63" t="b">
        <v>0</v>
      </c>
      <c r="N88" s="63" t="b">
        <v>0</v>
      </c>
      <c r="O88" s="63" t="b">
        <v>0</v>
      </c>
      <c r="P88" s="63" t="b">
        <v>0</v>
      </c>
      <c r="Q88" s="63" t="b">
        <v>0</v>
      </c>
      <c r="R88" s="63" t="b">
        <v>0</v>
      </c>
      <c r="S88" s="63" t="b">
        <v>0</v>
      </c>
      <c r="T88" s="63" t="b">
        <v>0</v>
      </c>
      <c r="U88" s="63" t="b">
        <v>0</v>
      </c>
      <c r="V88" s="63" t="b">
        <v>0</v>
      </c>
      <c r="W88" s="63" t="b">
        <v>0</v>
      </c>
      <c r="X88" s="63" t="b">
        <v>0</v>
      </c>
      <c r="Y88" s="63" t="b">
        <v>0</v>
      </c>
      <c r="Z88" s="63" t="b">
        <v>0</v>
      </c>
      <c r="AA88" s="63" t="b">
        <v>0</v>
      </c>
      <c r="AB88" s="63" t="b">
        <v>0</v>
      </c>
      <c r="AC88" s="63" t="b">
        <v>1</v>
      </c>
      <c r="AD88" s="63" t="b">
        <v>0</v>
      </c>
      <c r="AE88" s="63" t="b">
        <v>0</v>
      </c>
      <c r="AF88" s="63" t="b">
        <v>0</v>
      </c>
      <c r="AG88" s="63" t="b">
        <v>1</v>
      </c>
      <c r="AH88" s="63" t="b">
        <v>1</v>
      </c>
      <c r="AI88" s="63" t="b">
        <v>0</v>
      </c>
      <c r="AJ88" s="63" t="b">
        <v>1</v>
      </c>
      <c r="AK88" s="63" t="b">
        <v>1</v>
      </c>
      <c r="AL88" s="63" t="b">
        <v>0</v>
      </c>
      <c r="AM88" s="63" t="b">
        <v>1</v>
      </c>
      <c r="AN88" s="63" t="b">
        <v>0</v>
      </c>
      <c r="AO88" s="63" t="b">
        <v>0</v>
      </c>
      <c r="AP88" s="60"/>
      <c r="AQ88" s="54">
        <f t="shared" si="4"/>
        <v>5</v>
      </c>
    </row>
    <row r="89">
      <c r="A89" s="60" t="s">
        <v>459</v>
      </c>
      <c r="B89" s="60" t="s">
        <v>460</v>
      </c>
      <c r="C89" s="61">
        <v>8.953396299E9</v>
      </c>
      <c r="D89" s="60" t="s">
        <v>83</v>
      </c>
      <c r="E89" s="62">
        <f t="shared" si="1"/>
        <v>33</v>
      </c>
      <c r="F89" s="62">
        <f t="shared" si="2"/>
        <v>31</v>
      </c>
      <c r="G89" s="52">
        <f t="shared" si="3"/>
        <v>93.93939394</v>
      </c>
      <c r="H89" s="60"/>
      <c r="I89" s="63" t="b">
        <v>0</v>
      </c>
      <c r="J89" s="63" t="b">
        <v>0</v>
      </c>
      <c r="K89" s="63" t="b">
        <v>1</v>
      </c>
      <c r="L89" s="63" t="b">
        <v>1</v>
      </c>
      <c r="M89" s="63" t="b">
        <v>1</v>
      </c>
      <c r="N89" s="63" t="b">
        <v>1</v>
      </c>
      <c r="O89" s="63" t="b">
        <v>1</v>
      </c>
      <c r="P89" s="63" t="b">
        <v>1</v>
      </c>
      <c r="Q89" s="63" t="b">
        <v>1</v>
      </c>
      <c r="R89" s="63" t="b">
        <v>1</v>
      </c>
      <c r="S89" s="63" t="b">
        <v>1</v>
      </c>
      <c r="T89" s="63" t="b">
        <v>1</v>
      </c>
      <c r="U89" s="63" t="b">
        <v>1</v>
      </c>
      <c r="V89" s="63" t="b">
        <v>1</v>
      </c>
      <c r="W89" s="63" t="b">
        <v>1</v>
      </c>
      <c r="X89" s="63" t="b">
        <v>1</v>
      </c>
      <c r="Y89" s="63" t="b">
        <v>1</v>
      </c>
      <c r="Z89" s="63" t="b">
        <v>1</v>
      </c>
      <c r="AA89" s="63" t="b">
        <v>1</v>
      </c>
      <c r="AB89" s="63" t="b">
        <v>1</v>
      </c>
      <c r="AC89" s="63" t="b">
        <v>1</v>
      </c>
      <c r="AD89" s="63" t="b">
        <v>1</v>
      </c>
      <c r="AE89" s="63" t="b">
        <v>1</v>
      </c>
      <c r="AF89" s="63" t="b">
        <v>1</v>
      </c>
      <c r="AG89" s="63" t="b">
        <v>1</v>
      </c>
      <c r="AH89" s="63" t="b">
        <v>1</v>
      </c>
      <c r="AI89" s="63" t="b">
        <v>1</v>
      </c>
      <c r="AJ89" s="63" t="b">
        <v>1</v>
      </c>
      <c r="AK89" s="63" t="b">
        <v>1</v>
      </c>
      <c r="AL89" s="63" t="b">
        <v>1</v>
      </c>
      <c r="AM89" s="63" t="b">
        <v>1</v>
      </c>
      <c r="AN89" s="63" t="b">
        <v>1</v>
      </c>
      <c r="AO89" s="63" t="b">
        <v>1</v>
      </c>
      <c r="AP89" s="60"/>
      <c r="AQ89" s="54">
        <f t="shared" si="4"/>
        <v>9</v>
      </c>
    </row>
    <row r="90">
      <c r="A90" s="60" t="s">
        <v>461</v>
      </c>
      <c r="B90" s="60" t="s">
        <v>462</v>
      </c>
      <c r="C90" s="61">
        <v>8.306887703E9</v>
      </c>
      <c r="D90" s="60" t="s">
        <v>83</v>
      </c>
      <c r="E90" s="62">
        <f t="shared" si="1"/>
        <v>33</v>
      </c>
      <c r="F90" s="62">
        <f t="shared" si="2"/>
        <v>23</v>
      </c>
      <c r="G90" s="55">
        <f t="shared" si="3"/>
        <v>69.6969697</v>
      </c>
      <c r="H90" s="60"/>
      <c r="I90" s="63" t="b">
        <v>1</v>
      </c>
      <c r="J90" s="63" t="b">
        <v>1</v>
      </c>
      <c r="K90" s="63" t="b">
        <v>0</v>
      </c>
      <c r="L90" s="63" t="b">
        <v>1</v>
      </c>
      <c r="M90" s="63" t="b">
        <v>1</v>
      </c>
      <c r="N90" s="63" t="b">
        <v>1</v>
      </c>
      <c r="O90" s="63" t="b">
        <v>1</v>
      </c>
      <c r="P90" s="63" t="b">
        <v>1</v>
      </c>
      <c r="Q90" s="63" t="b">
        <v>0</v>
      </c>
      <c r="R90" s="63" t="b">
        <v>1</v>
      </c>
      <c r="S90" s="63" t="b">
        <v>1</v>
      </c>
      <c r="T90" s="63" t="b">
        <v>1</v>
      </c>
      <c r="U90" s="63" t="b">
        <v>0</v>
      </c>
      <c r="V90" s="63" t="b">
        <v>1</v>
      </c>
      <c r="W90" s="63" t="b">
        <v>0</v>
      </c>
      <c r="X90" s="63" t="b">
        <v>0</v>
      </c>
      <c r="Y90" s="63" t="b">
        <v>0</v>
      </c>
      <c r="Z90" s="63" t="b">
        <v>1</v>
      </c>
      <c r="AA90" s="63" t="b">
        <v>0</v>
      </c>
      <c r="AB90" s="63" t="b">
        <v>0</v>
      </c>
      <c r="AC90" s="63" t="b">
        <v>0</v>
      </c>
      <c r="AD90" s="63" t="b">
        <v>0</v>
      </c>
      <c r="AE90" s="63" t="b">
        <v>1</v>
      </c>
      <c r="AF90" s="63" t="b">
        <v>1</v>
      </c>
      <c r="AG90" s="63" t="b">
        <v>1</v>
      </c>
      <c r="AH90" s="63" t="b">
        <v>1</v>
      </c>
      <c r="AI90" s="63" t="b">
        <v>1</v>
      </c>
      <c r="AJ90" s="63" t="b">
        <v>1</v>
      </c>
      <c r="AK90" s="63" t="b">
        <v>1</v>
      </c>
      <c r="AL90" s="63" t="b">
        <v>1</v>
      </c>
      <c r="AM90" s="63" t="b">
        <v>1</v>
      </c>
      <c r="AN90" s="63" t="b">
        <v>1</v>
      </c>
      <c r="AO90" s="63" t="b">
        <v>1</v>
      </c>
      <c r="AP90" s="60"/>
      <c r="AQ90" s="54">
        <f t="shared" si="4"/>
        <v>9</v>
      </c>
    </row>
    <row r="91">
      <c r="A91" s="60" t="s">
        <v>463</v>
      </c>
      <c r="B91" s="60" t="s">
        <v>464</v>
      </c>
      <c r="C91" s="64" t="s">
        <v>465</v>
      </c>
      <c r="D91" s="60" t="s">
        <v>83</v>
      </c>
      <c r="E91" s="62">
        <f t="shared" si="1"/>
        <v>33</v>
      </c>
      <c r="F91" s="62">
        <f t="shared" si="2"/>
        <v>13</v>
      </c>
      <c r="G91" s="55">
        <f t="shared" si="3"/>
        <v>39.39393939</v>
      </c>
      <c r="H91" s="60"/>
      <c r="I91" s="63" t="b">
        <v>0</v>
      </c>
      <c r="J91" s="63" t="b">
        <v>0</v>
      </c>
      <c r="K91" s="63" t="b">
        <v>0</v>
      </c>
      <c r="L91" s="63" t="b">
        <v>0</v>
      </c>
      <c r="M91" s="63" t="b">
        <v>0</v>
      </c>
      <c r="N91" s="63" t="b">
        <v>0</v>
      </c>
      <c r="O91" s="63" t="b">
        <v>0</v>
      </c>
      <c r="P91" s="63" t="b">
        <v>0</v>
      </c>
      <c r="Q91" s="63" t="b">
        <v>0</v>
      </c>
      <c r="R91" s="63" t="b">
        <v>0</v>
      </c>
      <c r="S91" s="63" t="b">
        <v>0</v>
      </c>
      <c r="T91" s="63" t="b">
        <v>0</v>
      </c>
      <c r="U91" s="63" t="b">
        <v>1</v>
      </c>
      <c r="V91" s="63" t="b">
        <v>1</v>
      </c>
      <c r="W91" s="63" t="b">
        <v>0</v>
      </c>
      <c r="X91" s="63" t="b">
        <v>0</v>
      </c>
      <c r="Y91" s="63" t="b">
        <v>0</v>
      </c>
      <c r="Z91" s="63" t="b">
        <v>0</v>
      </c>
      <c r="AA91" s="63" t="b">
        <v>0</v>
      </c>
      <c r="AB91" s="63" t="b">
        <v>0</v>
      </c>
      <c r="AC91" s="63" t="b">
        <v>1</v>
      </c>
      <c r="AD91" s="63" t="b">
        <v>1</v>
      </c>
      <c r="AE91" s="63" t="b">
        <v>0</v>
      </c>
      <c r="AF91" s="63" t="b">
        <v>1</v>
      </c>
      <c r="AG91" s="63" t="b">
        <v>1</v>
      </c>
      <c r="AH91" s="63" t="b">
        <v>1</v>
      </c>
      <c r="AI91" s="63" t="b">
        <v>1</v>
      </c>
      <c r="AJ91" s="63" t="b">
        <v>1</v>
      </c>
      <c r="AK91" s="63" t="b">
        <v>0</v>
      </c>
      <c r="AL91" s="63" t="b">
        <v>1</v>
      </c>
      <c r="AM91" s="63" t="b">
        <v>1</v>
      </c>
      <c r="AN91" s="63" t="b">
        <v>1</v>
      </c>
      <c r="AO91" s="63" t="b">
        <v>1</v>
      </c>
      <c r="AP91" s="60"/>
      <c r="AQ91" s="54">
        <f t="shared" si="4"/>
        <v>8</v>
      </c>
    </row>
    <row r="92">
      <c r="A92" s="60" t="s">
        <v>466</v>
      </c>
      <c r="B92" s="60" t="s">
        <v>467</v>
      </c>
      <c r="C92" s="61">
        <v>8.543049907E9</v>
      </c>
      <c r="D92" s="60" t="s">
        <v>83</v>
      </c>
      <c r="E92" s="62">
        <f t="shared" si="1"/>
        <v>33</v>
      </c>
      <c r="F92" s="62">
        <f t="shared" si="2"/>
        <v>21</v>
      </c>
      <c r="G92" s="55">
        <f t="shared" si="3"/>
        <v>63.63636364</v>
      </c>
      <c r="H92" s="60"/>
      <c r="I92" s="63" t="b">
        <v>0</v>
      </c>
      <c r="J92" s="63" t="b">
        <v>0</v>
      </c>
      <c r="K92" s="63" t="b">
        <v>0</v>
      </c>
      <c r="L92" s="63" t="b">
        <v>0</v>
      </c>
      <c r="M92" s="63" t="b">
        <v>0</v>
      </c>
      <c r="N92" s="63" t="b">
        <v>1</v>
      </c>
      <c r="O92" s="63" t="b">
        <v>1</v>
      </c>
      <c r="P92" s="63" t="b">
        <v>1</v>
      </c>
      <c r="Q92" s="63" t="b">
        <v>1</v>
      </c>
      <c r="R92" s="63" t="b">
        <v>1</v>
      </c>
      <c r="S92" s="63" t="b">
        <v>0</v>
      </c>
      <c r="T92" s="63" t="b">
        <v>1</v>
      </c>
      <c r="U92" s="63" t="b">
        <v>0</v>
      </c>
      <c r="V92" s="63" t="b">
        <v>0</v>
      </c>
      <c r="W92" s="63" t="b">
        <v>1</v>
      </c>
      <c r="X92" s="63" t="b">
        <v>1</v>
      </c>
      <c r="Y92" s="63" t="b">
        <v>1</v>
      </c>
      <c r="Z92" s="63" t="b">
        <v>1</v>
      </c>
      <c r="AA92" s="63" t="b">
        <v>1</v>
      </c>
      <c r="AB92" s="63" t="b">
        <v>0</v>
      </c>
      <c r="AC92" s="63" t="b">
        <v>1</v>
      </c>
      <c r="AD92" s="63" t="b">
        <v>0</v>
      </c>
      <c r="AE92" s="63" t="b">
        <v>0</v>
      </c>
      <c r="AF92" s="63" t="b">
        <v>1</v>
      </c>
      <c r="AG92" s="63" t="b">
        <v>1</v>
      </c>
      <c r="AH92" s="63" t="b">
        <v>1</v>
      </c>
      <c r="AI92" s="63" t="b">
        <v>0</v>
      </c>
      <c r="AJ92" s="63" t="b">
        <v>1</v>
      </c>
      <c r="AK92" s="63" t="b">
        <v>1</v>
      </c>
      <c r="AL92" s="63" t="b">
        <v>1</v>
      </c>
      <c r="AM92" s="63" t="b">
        <v>1</v>
      </c>
      <c r="AN92" s="63" t="b">
        <v>1</v>
      </c>
      <c r="AO92" s="63" t="b">
        <v>1</v>
      </c>
      <c r="AP92" s="60"/>
      <c r="AQ92" s="54">
        <f t="shared" si="4"/>
        <v>8</v>
      </c>
    </row>
    <row r="93">
      <c r="A93" s="60" t="s">
        <v>468</v>
      </c>
      <c r="B93" s="60" t="s">
        <v>469</v>
      </c>
      <c r="C93" s="64" t="s">
        <v>470</v>
      </c>
      <c r="D93" s="60" t="s">
        <v>83</v>
      </c>
      <c r="E93" s="62">
        <f t="shared" si="1"/>
        <v>33</v>
      </c>
      <c r="F93" s="62">
        <f t="shared" si="2"/>
        <v>29</v>
      </c>
      <c r="G93" s="52">
        <f t="shared" si="3"/>
        <v>87.87878788</v>
      </c>
      <c r="H93" s="60"/>
      <c r="I93" s="63" t="b">
        <v>1</v>
      </c>
      <c r="J93" s="63" t="b">
        <v>1</v>
      </c>
      <c r="K93" s="63" t="b">
        <v>0</v>
      </c>
      <c r="L93" s="63" t="b">
        <v>1</v>
      </c>
      <c r="M93" s="63" t="b">
        <v>1</v>
      </c>
      <c r="N93" s="63" t="b">
        <v>1</v>
      </c>
      <c r="O93" s="63" t="b">
        <v>0</v>
      </c>
      <c r="P93" s="63" t="b">
        <v>0</v>
      </c>
      <c r="Q93" s="63" t="b">
        <v>1</v>
      </c>
      <c r="R93" s="63" t="b">
        <v>1</v>
      </c>
      <c r="S93" s="63" t="b">
        <v>1</v>
      </c>
      <c r="T93" s="63" t="b">
        <v>1</v>
      </c>
      <c r="U93" s="63" t="b">
        <v>0</v>
      </c>
      <c r="V93" s="63" t="b">
        <v>1</v>
      </c>
      <c r="W93" s="63" t="b">
        <v>1</v>
      </c>
      <c r="X93" s="63" t="b">
        <v>1</v>
      </c>
      <c r="Y93" s="63" t="b">
        <v>1</v>
      </c>
      <c r="Z93" s="63" t="b">
        <v>1</v>
      </c>
      <c r="AA93" s="63" t="b">
        <v>1</v>
      </c>
      <c r="AB93" s="63" t="b">
        <v>1</v>
      </c>
      <c r="AC93" s="63" t="b">
        <v>1</v>
      </c>
      <c r="AD93" s="63" t="b">
        <v>1</v>
      </c>
      <c r="AE93" s="63" t="b">
        <v>1</v>
      </c>
      <c r="AF93" s="63" t="b">
        <v>1</v>
      </c>
      <c r="AG93" s="63" t="b">
        <v>1</v>
      </c>
      <c r="AH93" s="63" t="b">
        <v>1</v>
      </c>
      <c r="AI93" s="63" t="b">
        <v>1</v>
      </c>
      <c r="AJ93" s="63" t="b">
        <v>1</v>
      </c>
      <c r="AK93" s="63" t="b">
        <v>1</v>
      </c>
      <c r="AL93" s="63" t="b">
        <v>1</v>
      </c>
      <c r="AM93" s="63" t="b">
        <v>1</v>
      </c>
      <c r="AN93" s="63" t="b">
        <v>1</v>
      </c>
      <c r="AO93" s="63" t="b">
        <v>1</v>
      </c>
      <c r="AP93" s="60"/>
      <c r="AQ93" s="54">
        <f t="shared" si="4"/>
        <v>9</v>
      </c>
    </row>
    <row r="94">
      <c r="A94" s="60" t="s">
        <v>471</v>
      </c>
      <c r="B94" s="60" t="s">
        <v>472</v>
      </c>
      <c r="C94" s="61">
        <v>6.386519074E9</v>
      </c>
      <c r="D94" s="60" t="s">
        <v>83</v>
      </c>
      <c r="E94" s="62">
        <f t="shared" si="1"/>
        <v>33</v>
      </c>
      <c r="F94" s="62">
        <f t="shared" si="2"/>
        <v>32</v>
      </c>
      <c r="G94" s="52">
        <f t="shared" si="3"/>
        <v>96.96969697</v>
      </c>
      <c r="H94" s="60"/>
      <c r="I94" s="63" t="b">
        <v>1</v>
      </c>
      <c r="J94" s="63" t="b">
        <v>1</v>
      </c>
      <c r="K94" s="63" t="b">
        <v>1</v>
      </c>
      <c r="L94" s="63" t="b">
        <v>1</v>
      </c>
      <c r="M94" s="63" t="b">
        <v>1</v>
      </c>
      <c r="N94" s="63" t="b">
        <v>1</v>
      </c>
      <c r="O94" s="63" t="b">
        <v>1</v>
      </c>
      <c r="P94" s="63" t="b">
        <v>1</v>
      </c>
      <c r="Q94" s="63" t="b">
        <v>1</v>
      </c>
      <c r="R94" s="63" t="b">
        <v>1</v>
      </c>
      <c r="S94" s="63" t="b">
        <v>1</v>
      </c>
      <c r="T94" s="63" t="b">
        <v>1</v>
      </c>
      <c r="U94" s="63" t="b">
        <v>1</v>
      </c>
      <c r="V94" s="63" t="b">
        <v>1</v>
      </c>
      <c r="W94" s="63" t="b">
        <v>1</v>
      </c>
      <c r="X94" s="63" t="b">
        <v>1</v>
      </c>
      <c r="Y94" s="63" t="b">
        <v>1</v>
      </c>
      <c r="Z94" s="63" t="b">
        <v>1</v>
      </c>
      <c r="AA94" s="63" t="b">
        <v>1</v>
      </c>
      <c r="AB94" s="63" t="b">
        <v>1</v>
      </c>
      <c r="AC94" s="63" t="b">
        <v>1</v>
      </c>
      <c r="AD94" s="63" t="b">
        <v>1</v>
      </c>
      <c r="AE94" s="63" t="b">
        <v>1</v>
      </c>
      <c r="AF94" s="63" t="b">
        <v>1</v>
      </c>
      <c r="AG94" s="63" t="b">
        <v>1</v>
      </c>
      <c r="AH94" s="63" t="b">
        <v>1</v>
      </c>
      <c r="AI94" s="63" t="b">
        <v>1</v>
      </c>
      <c r="AJ94" s="63" t="b">
        <v>0</v>
      </c>
      <c r="AK94" s="63" t="b">
        <v>1</v>
      </c>
      <c r="AL94" s="63" t="b">
        <v>1</v>
      </c>
      <c r="AM94" s="63" t="b">
        <v>1</v>
      </c>
      <c r="AN94" s="63" t="b">
        <v>1</v>
      </c>
      <c r="AO94" s="63" t="b">
        <v>1</v>
      </c>
      <c r="AP94" s="60"/>
      <c r="AQ94" s="54">
        <f t="shared" si="4"/>
        <v>8</v>
      </c>
    </row>
    <row r="95">
      <c r="A95" s="60" t="s">
        <v>473</v>
      </c>
      <c r="B95" s="60" t="s">
        <v>474</v>
      </c>
      <c r="C95" s="61">
        <v>7.905094122E9</v>
      </c>
      <c r="D95" s="60" t="s">
        <v>83</v>
      </c>
      <c r="E95" s="62">
        <f t="shared" si="1"/>
        <v>33</v>
      </c>
      <c r="F95" s="62">
        <f t="shared" si="2"/>
        <v>4</v>
      </c>
      <c r="G95" s="55">
        <f t="shared" si="3"/>
        <v>12.12121212</v>
      </c>
      <c r="H95" s="60"/>
      <c r="I95" s="63" t="b">
        <v>0</v>
      </c>
      <c r="J95" s="63" t="b">
        <v>0</v>
      </c>
      <c r="K95" s="63" t="b">
        <v>0</v>
      </c>
      <c r="L95" s="63" t="b">
        <v>0</v>
      </c>
      <c r="M95" s="63" t="b">
        <v>0</v>
      </c>
      <c r="N95" s="63" t="b">
        <v>0</v>
      </c>
      <c r="O95" s="63" t="b">
        <v>0</v>
      </c>
      <c r="P95" s="63" t="b">
        <v>0</v>
      </c>
      <c r="Q95" s="63" t="b">
        <v>0</v>
      </c>
      <c r="R95" s="63" t="b">
        <v>0</v>
      </c>
      <c r="S95" s="63" t="b">
        <v>0</v>
      </c>
      <c r="T95" s="63" t="b">
        <v>0</v>
      </c>
      <c r="U95" s="63" t="b">
        <v>0</v>
      </c>
      <c r="V95" s="63" t="b">
        <v>0</v>
      </c>
      <c r="W95" s="63" t="b">
        <v>0</v>
      </c>
      <c r="X95" s="63" t="b">
        <v>0</v>
      </c>
      <c r="Y95" s="63" t="b">
        <v>0</v>
      </c>
      <c r="Z95" s="63" t="b">
        <v>0</v>
      </c>
      <c r="AA95" s="63" t="b">
        <v>0</v>
      </c>
      <c r="AB95" s="63" t="b">
        <v>0</v>
      </c>
      <c r="AC95" s="63" t="b">
        <v>1</v>
      </c>
      <c r="AD95" s="63" t="b">
        <v>1</v>
      </c>
      <c r="AE95" s="63" t="b">
        <v>1</v>
      </c>
      <c r="AF95" s="63" t="b">
        <v>1</v>
      </c>
      <c r="AG95" s="63" t="b">
        <v>0</v>
      </c>
      <c r="AH95" s="63" t="b">
        <v>0</v>
      </c>
      <c r="AI95" s="63" t="b">
        <v>0</v>
      </c>
      <c r="AJ95" s="63" t="b">
        <v>0</v>
      </c>
      <c r="AK95" s="63" t="b">
        <v>0</v>
      </c>
      <c r="AL95" s="63" t="b">
        <v>0</v>
      </c>
      <c r="AM95" s="63" t="b">
        <v>0</v>
      </c>
      <c r="AN95" s="63" t="b">
        <v>0</v>
      </c>
      <c r="AO95" s="63" t="b">
        <v>0</v>
      </c>
      <c r="AP95" s="60"/>
      <c r="AQ95" s="54">
        <f t="shared" si="4"/>
        <v>0</v>
      </c>
    </row>
    <row r="96">
      <c r="A96" s="60" t="s">
        <v>475</v>
      </c>
      <c r="B96" s="60" t="s">
        <v>476</v>
      </c>
      <c r="C96" s="61">
        <v>8.887606131E9</v>
      </c>
      <c r="D96" s="60" t="s">
        <v>83</v>
      </c>
      <c r="E96" s="62">
        <f t="shared" si="1"/>
        <v>33</v>
      </c>
      <c r="F96" s="62">
        <f t="shared" si="2"/>
        <v>9</v>
      </c>
      <c r="G96" s="55">
        <f t="shared" si="3"/>
        <v>27.27272727</v>
      </c>
      <c r="H96" s="60"/>
      <c r="I96" s="63" t="b">
        <v>0</v>
      </c>
      <c r="J96" s="63" t="b">
        <v>0</v>
      </c>
      <c r="K96" s="63" t="b">
        <v>0</v>
      </c>
      <c r="L96" s="63" t="b">
        <v>0</v>
      </c>
      <c r="M96" s="63" t="b">
        <v>0</v>
      </c>
      <c r="N96" s="63" t="b">
        <v>0</v>
      </c>
      <c r="O96" s="63" t="b">
        <v>0</v>
      </c>
      <c r="P96" s="63" t="b">
        <v>0</v>
      </c>
      <c r="Q96" s="63" t="b">
        <v>0</v>
      </c>
      <c r="R96" s="63" t="b">
        <v>0</v>
      </c>
      <c r="S96" s="63" t="b">
        <v>0</v>
      </c>
      <c r="T96" s="63" t="b">
        <v>0</v>
      </c>
      <c r="U96" s="63" t="b">
        <v>0</v>
      </c>
      <c r="V96" s="63" t="b">
        <v>0</v>
      </c>
      <c r="W96" s="63" t="b">
        <v>1</v>
      </c>
      <c r="X96" s="63" t="b">
        <v>0</v>
      </c>
      <c r="Y96" s="63" t="b">
        <v>0</v>
      </c>
      <c r="Z96" s="63" t="b">
        <v>1</v>
      </c>
      <c r="AA96" s="63" t="b">
        <v>0</v>
      </c>
      <c r="AB96" s="63" t="b">
        <v>0</v>
      </c>
      <c r="AC96" s="63" t="b">
        <v>1</v>
      </c>
      <c r="AD96" s="63" t="b">
        <v>1</v>
      </c>
      <c r="AE96" s="63" t="b">
        <v>0</v>
      </c>
      <c r="AF96" s="63" t="b">
        <v>0</v>
      </c>
      <c r="AG96" s="63" t="b">
        <v>0</v>
      </c>
      <c r="AH96" s="63" t="b">
        <v>0</v>
      </c>
      <c r="AI96" s="63" t="b">
        <v>0</v>
      </c>
      <c r="AJ96" s="63" t="b">
        <v>0</v>
      </c>
      <c r="AK96" s="63" t="b">
        <v>1</v>
      </c>
      <c r="AL96" s="63" t="b">
        <v>1</v>
      </c>
      <c r="AM96" s="63" t="b">
        <v>1</v>
      </c>
      <c r="AN96" s="63" t="b">
        <v>1</v>
      </c>
      <c r="AO96" s="63" t="b">
        <v>1</v>
      </c>
      <c r="AP96" s="60"/>
      <c r="AQ96" s="54">
        <f t="shared" si="4"/>
        <v>5</v>
      </c>
    </row>
    <row r="97">
      <c r="A97" s="60" t="s">
        <v>477</v>
      </c>
      <c r="B97" s="60" t="s">
        <v>478</v>
      </c>
      <c r="C97" s="61">
        <v>9.369379442E9</v>
      </c>
      <c r="D97" s="60" t="s">
        <v>83</v>
      </c>
      <c r="E97" s="62">
        <f t="shared" si="1"/>
        <v>33</v>
      </c>
      <c r="F97" s="62">
        <f t="shared" si="2"/>
        <v>27</v>
      </c>
      <c r="G97" s="52">
        <f t="shared" si="3"/>
        <v>81.81818182</v>
      </c>
      <c r="H97" s="60"/>
      <c r="I97" s="63" t="b">
        <v>1</v>
      </c>
      <c r="J97" s="63" t="b">
        <v>1</v>
      </c>
      <c r="K97" s="63" t="b">
        <v>1</v>
      </c>
      <c r="L97" s="63" t="b">
        <v>1</v>
      </c>
      <c r="M97" s="63" t="b">
        <v>1</v>
      </c>
      <c r="N97" s="63" t="b">
        <v>1</v>
      </c>
      <c r="O97" s="63" t="b">
        <v>0</v>
      </c>
      <c r="P97" s="63" t="b">
        <v>0</v>
      </c>
      <c r="Q97" s="63" t="b">
        <v>1</v>
      </c>
      <c r="R97" s="63" t="b">
        <v>1</v>
      </c>
      <c r="S97" s="63" t="b">
        <v>1</v>
      </c>
      <c r="T97" s="63" t="b">
        <v>1</v>
      </c>
      <c r="U97" s="63" t="b">
        <v>1</v>
      </c>
      <c r="V97" s="63" t="b">
        <v>1</v>
      </c>
      <c r="W97" s="63" t="b">
        <v>1</v>
      </c>
      <c r="X97" s="63" t="b">
        <v>0</v>
      </c>
      <c r="Y97" s="63" t="b">
        <v>1</v>
      </c>
      <c r="Z97" s="63" t="b">
        <v>0</v>
      </c>
      <c r="AA97" s="63" t="b">
        <v>1</v>
      </c>
      <c r="AB97" s="63" t="b">
        <v>1</v>
      </c>
      <c r="AC97" s="63" t="b">
        <v>1</v>
      </c>
      <c r="AD97" s="63" t="b">
        <v>1</v>
      </c>
      <c r="AE97" s="63" t="b">
        <v>1</v>
      </c>
      <c r="AF97" s="63" t="b">
        <v>1</v>
      </c>
      <c r="AG97" s="63" t="b">
        <v>0</v>
      </c>
      <c r="AH97" s="63" t="b">
        <v>1</v>
      </c>
      <c r="AI97" s="63" t="b">
        <v>1</v>
      </c>
      <c r="AJ97" s="63" t="b">
        <v>0</v>
      </c>
      <c r="AK97" s="63" t="b">
        <v>1</v>
      </c>
      <c r="AL97" s="63" t="b">
        <v>1</v>
      </c>
      <c r="AM97" s="63" t="b">
        <v>1</v>
      </c>
      <c r="AN97" s="63" t="b">
        <v>1</v>
      </c>
      <c r="AO97" s="63" t="b">
        <v>1</v>
      </c>
      <c r="AP97" s="60"/>
      <c r="AQ97" s="54">
        <f t="shared" si="4"/>
        <v>7</v>
      </c>
    </row>
    <row r="98">
      <c r="A98" s="60" t="s">
        <v>479</v>
      </c>
      <c r="B98" s="60" t="s">
        <v>480</v>
      </c>
      <c r="C98" s="61" t="s">
        <v>481</v>
      </c>
      <c r="D98" s="60" t="s">
        <v>83</v>
      </c>
      <c r="E98" s="62">
        <f t="shared" si="1"/>
        <v>33</v>
      </c>
      <c r="F98" s="62">
        <f t="shared" si="2"/>
        <v>23</v>
      </c>
      <c r="G98" s="55">
        <f t="shared" si="3"/>
        <v>69.6969697</v>
      </c>
      <c r="H98" s="60"/>
      <c r="I98" s="63" t="b">
        <v>1</v>
      </c>
      <c r="J98" s="63" t="b">
        <v>1</v>
      </c>
      <c r="K98" s="63" t="b">
        <v>1</v>
      </c>
      <c r="L98" s="63" t="b">
        <v>1</v>
      </c>
      <c r="M98" s="63" t="b">
        <v>1</v>
      </c>
      <c r="N98" s="63" t="b">
        <v>0</v>
      </c>
      <c r="O98" s="63" t="b">
        <v>1</v>
      </c>
      <c r="P98" s="63" t="b">
        <v>1</v>
      </c>
      <c r="Q98" s="63" t="b">
        <v>1</v>
      </c>
      <c r="R98" s="63" t="b">
        <v>1</v>
      </c>
      <c r="S98" s="63" t="b">
        <v>0</v>
      </c>
      <c r="T98" s="63" t="b">
        <v>0</v>
      </c>
      <c r="U98" s="63" t="b">
        <v>0</v>
      </c>
      <c r="V98" s="63" t="b">
        <v>0</v>
      </c>
      <c r="W98" s="63" t="b">
        <v>1</v>
      </c>
      <c r="X98" s="63" t="b">
        <v>1</v>
      </c>
      <c r="Y98" s="63" t="b">
        <v>0</v>
      </c>
      <c r="Z98" s="63" t="b">
        <v>0</v>
      </c>
      <c r="AA98" s="63" t="b">
        <v>0</v>
      </c>
      <c r="AB98" s="63" t="b">
        <v>0</v>
      </c>
      <c r="AC98" s="63" t="b">
        <v>1</v>
      </c>
      <c r="AD98" s="63" t="b">
        <v>1</v>
      </c>
      <c r="AE98" s="63" t="b">
        <v>1</v>
      </c>
      <c r="AF98" s="63" t="b">
        <v>1</v>
      </c>
      <c r="AG98" s="63" t="b">
        <v>0</v>
      </c>
      <c r="AH98" s="63" t="b">
        <v>1</v>
      </c>
      <c r="AI98" s="63" t="b">
        <v>1</v>
      </c>
      <c r="AJ98" s="63" t="b">
        <v>1</v>
      </c>
      <c r="AK98" s="63" t="b">
        <v>1</v>
      </c>
      <c r="AL98" s="63" t="b">
        <v>1</v>
      </c>
      <c r="AM98" s="63" t="b">
        <v>1</v>
      </c>
      <c r="AN98" s="63" t="b">
        <v>1</v>
      </c>
      <c r="AO98" s="63" t="b">
        <v>1</v>
      </c>
      <c r="AP98" s="60"/>
      <c r="AQ98" s="54">
        <f t="shared" si="4"/>
        <v>8</v>
      </c>
    </row>
    <row r="99">
      <c r="A99" s="60" t="s">
        <v>482</v>
      </c>
      <c r="B99" s="60" t="s">
        <v>483</v>
      </c>
      <c r="C99" s="64" t="s">
        <v>484</v>
      </c>
      <c r="D99" s="60" t="s">
        <v>83</v>
      </c>
      <c r="E99" s="62">
        <f t="shared" si="1"/>
        <v>33</v>
      </c>
      <c r="F99" s="62">
        <f t="shared" si="2"/>
        <v>33</v>
      </c>
      <c r="G99" s="52">
        <f t="shared" si="3"/>
        <v>100</v>
      </c>
      <c r="H99" s="60"/>
      <c r="I99" s="63" t="b">
        <v>1</v>
      </c>
      <c r="J99" s="63" t="b">
        <v>1</v>
      </c>
      <c r="K99" s="63" t="b">
        <v>1</v>
      </c>
      <c r="L99" s="63" t="b">
        <v>1</v>
      </c>
      <c r="M99" s="63" t="b">
        <v>1</v>
      </c>
      <c r="N99" s="63" t="b">
        <v>1</v>
      </c>
      <c r="O99" s="63" t="b">
        <v>1</v>
      </c>
      <c r="P99" s="63" t="b">
        <v>1</v>
      </c>
      <c r="Q99" s="63" t="b">
        <v>1</v>
      </c>
      <c r="R99" s="63" t="b">
        <v>1</v>
      </c>
      <c r="S99" s="63" t="b">
        <v>1</v>
      </c>
      <c r="T99" s="63" t="b">
        <v>1</v>
      </c>
      <c r="U99" s="63" t="b">
        <v>1</v>
      </c>
      <c r="V99" s="63" t="b">
        <v>1</v>
      </c>
      <c r="W99" s="63" t="b">
        <v>1</v>
      </c>
      <c r="X99" s="63" t="b">
        <v>1</v>
      </c>
      <c r="Y99" s="63" t="b">
        <v>1</v>
      </c>
      <c r="Z99" s="63" t="b">
        <v>1</v>
      </c>
      <c r="AA99" s="63" t="b">
        <v>1</v>
      </c>
      <c r="AB99" s="63" t="b">
        <v>1</v>
      </c>
      <c r="AC99" s="63" t="b">
        <v>1</v>
      </c>
      <c r="AD99" s="63" t="b">
        <v>1</v>
      </c>
      <c r="AE99" s="63" t="b">
        <v>1</v>
      </c>
      <c r="AF99" s="63" t="b">
        <v>1</v>
      </c>
      <c r="AG99" s="63" t="b">
        <v>1</v>
      </c>
      <c r="AH99" s="63" t="b">
        <v>1</v>
      </c>
      <c r="AI99" s="63" t="b">
        <v>1</v>
      </c>
      <c r="AJ99" s="63" t="b">
        <v>1</v>
      </c>
      <c r="AK99" s="63" t="b">
        <v>1</v>
      </c>
      <c r="AL99" s="63" t="b">
        <v>1</v>
      </c>
      <c r="AM99" s="63" t="b">
        <v>1</v>
      </c>
      <c r="AN99" s="63" t="b">
        <v>1</v>
      </c>
      <c r="AO99" s="63" t="b">
        <v>1</v>
      </c>
      <c r="AP99" s="60"/>
      <c r="AQ99" s="54">
        <f t="shared" si="4"/>
        <v>9</v>
      </c>
    </row>
    <row r="100">
      <c r="A100" s="60" t="s">
        <v>485</v>
      </c>
      <c r="B100" s="60" t="s">
        <v>486</v>
      </c>
      <c r="C100" s="64" t="s">
        <v>487</v>
      </c>
      <c r="D100" s="60" t="s">
        <v>83</v>
      </c>
      <c r="E100" s="62">
        <f t="shared" si="1"/>
        <v>33</v>
      </c>
      <c r="F100" s="62">
        <f t="shared" si="2"/>
        <v>21</v>
      </c>
      <c r="G100" s="55">
        <f t="shared" si="3"/>
        <v>63.63636364</v>
      </c>
      <c r="H100" s="60"/>
      <c r="I100" s="63" t="b">
        <v>0</v>
      </c>
      <c r="J100" s="63" t="b">
        <v>1</v>
      </c>
      <c r="K100" s="63" t="b">
        <v>1</v>
      </c>
      <c r="L100" s="63" t="b">
        <v>1</v>
      </c>
      <c r="M100" s="63" t="b">
        <v>0</v>
      </c>
      <c r="N100" s="63" t="b">
        <v>1</v>
      </c>
      <c r="O100" s="63" t="b">
        <v>1</v>
      </c>
      <c r="P100" s="63" t="b">
        <v>1</v>
      </c>
      <c r="Q100" s="63" t="b">
        <v>1</v>
      </c>
      <c r="R100" s="63" t="b">
        <v>1</v>
      </c>
      <c r="S100" s="63" t="b">
        <v>0</v>
      </c>
      <c r="T100" s="63" t="b">
        <v>1</v>
      </c>
      <c r="U100" s="63" t="b">
        <v>0</v>
      </c>
      <c r="V100" s="63" t="b">
        <v>1</v>
      </c>
      <c r="W100" s="63" t="b">
        <v>0</v>
      </c>
      <c r="X100" s="63" t="b">
        <v>0</v>
      </c>
      <c r="Y100" s="63" t="b">
        <v>0</v>
      </c>
      <c r="Z100" s="63" t="b">
        <v>0</v>
      </c>
      <c r="AA100" s="63" t="b">
        <v>0</v>
      </c>
      <c r="AB100" s="63" t="b">
        <v>0</v>
      </c>
      <c r="AC100" s="63" t="b">
        <v>1</v>
      </c>
      <c r="AD100" s="63" t="b">
        <v>1</v>
      </c>
      <c r="AE100" s="63" t="b">
        <v>1</v>
      </c>
      <c r="AF100" s="63" t="b">
        <v>1</v>
      </c>
      <c r="AG100" s="63" t="b">
        <v>0</v>
      </c>
      <c r="AH100" s="63" t="b">
        <v>1</v>
      </c>
      <c r="AI100" s="63" t="b">
        <v>0</v>
      </c>
      <c r="AJ100" s="63" t="b">
        <v>1</v>
      </c>
      <c r="AK100" s="63" t="b">
        <v>1</v>
      </c>
      <c r="AL100" s="63" t="b">
        <v>1</v>
      </c>
      <c r="AM100" s="63" t="b">
        <v>1</v>
      </c>
      <c r="AN100" s="63" t="b">
        <v>1</v>
      </c>
      <c r="AO100" s="63" t="b">
        <v>1</v>
      </c>
      <c r="AP100" s="60"/>
      <c r="AQ100" s="54">
        <f t="shared" si="4"/>
        <v>7</v>
      </c>
    </row>
    <row r="101">
      <c r="A101" s="60" t="s">
        <v>488</v>
      </c>
      <c r="B101" s="60" t="s">
        <v>489</v>
      </c>
      <c r="C101" s="64" t="s">
        <v>490</v>
      </c>
      <c r="D101" s="60" t="s">
        <v>83</v>
      </c>
      <c r="E101" s="62">
        <f t="shared" si="1"/>
        <v>33</v>
      </c>
      <c r="F101" s="62">
        <f t="shared" si="2"/>
        <v>4</v>
      </c>
      <c r="G101" s="55">
        <f t="shared" si="3"/>
        <v>12.12121212</v>
      </c>
      <c r="H101" s="60"/>
      <c r="I101" s="63" t="b">
        <v>0</v>
      </c>
      <c r="J101" s="63" t="b">
        <v>0</v>
      </c>
      <c r="K101" s="63" t="b">
        <v>0</v>
      </c>
      <c r="L101" s="63" t="b">
        <v>0</v>
      </c>
      <c r="M101" s="63" t="b">
        <v>0</v>
      </c>
      <c r="N101" s="63" t="b">
        <v>0</v>
      </c>
      <c r="O101" s="63" t="b">
        <v>0</v>
      </c>
      <c r="P101" s="63" t="b">
        <v>0</v>
      </c>
      <c r="Q101" s="63" t="b">
        <v>0</v>
      </c>
      <c r="R101" s="63" t="b">
        <v>0</v>
      </c>
      <c r="S101" s="63" t="b">
        <v>0</v>
      </c>
      <c r="T101" s="63" t="b">
        <v>0</v>
      </c>
      <c r="U101" s="63" t="b">
        <v>0</v>
      </c>
      <c r="V101" s="63" t="b">
        <v>0</v>
      </c>
      <c r="W101" s="63" t="b">
        <v>0</v>
      </c>
      <c r="X101" s="63" t="b">
        <v>0</v>
      </c>
      <c r="Y101" s="63" t="b">
        <v>0</v>
      </c>
      <c r="Z101" s="63" t="b">
        <v>0</v>
      </c>
      <c r="AA101" s="63" t="b">
        <v>0</v>
      </c>
      <c r="AB101" s="63" t="b">
        <v>0</v>
      </c>
      <c r="AC101" s="63" t="b">
        <v>0</v>
      </c>
      <c r="AD101" s="63" t="b">
        <v>0</v>
      </c>
      <c r="AE101" s="63" t="b">
        <v>0</v>
      </c>
      <c r="AF101" s="63" t="b">
        <v>0</v>
      </c>
      <c r="AG101" s="63" t="b">
        <v>0</v>
      </c>
      <c r="AH101" s="63" t="b">
        <v>0</v>
      </c>
      <c r="AI101" s="63" t="b">
        <v>0</v>
      </c>
      <c r="AJ101" s="63" t="b">
        <v>0</v>
      </c>
      <c r="AK101" s="63" t="b">
        <v>1</v>
      </c>
      <c r="AL101" s="63" t="b">
        <v>1</v>
      </c>
      <c r="AM101" s="63" t="b">
        <v>0</v>
      </c>
      <c r="AN101" s="63" t="b">
        <v>1</v>
      </c>
      <c r="AO101" s="63" t="b">
        <v>1</v>
      </c>
      <c r="AP101" s="60"/>
      <c r="AQ101" s="54">
        <f t="shared" si="4"/>
        <v>4</v>
      </c>
    </row>
    <row r="102">
      <c r="A102" s="60" t="s">
        <v>491</v>
      </c>
      <c r="B102" s="60" t="s">
        <v>492</v>
      </c>
      <c r="C102" s="64" t="s">
        <v>493</v>
      </c>
      <c r="D102" s="60" t="s">
        <v>83</v>
      </c>
      <c r="E102" s="62">
        <f t="shared" si="1"/>
        <v>33</v>
      </c>
      <c r="F102" s="62">
        <f t="shared" si="2"/>
        <v>16</v>
      </c>
      <c r="G102" s="55">
        <f t="shared" si="3"/>
        <v>48.48484848</v>
      </c>
      <c r="H102" s="60"/>
      <c r="I102" s="63" t="b">
        <v>0</v>
      </c>
      <c r="J102" s="63" t="b">
        <v>1</v>
      </c>
      <c r="K102" s="63" t="b">
        <v>0</v>
      </c>
      <c r="L102" s="63" t="b">
        <v>0</v>
      </c>
      <c r="M102" s="63" t="b">
        <v>0</v>
      </c>
      <c r="N102" s="63" t="b">
        <v>1</v>
      </c>
      <c r="O102" s="63" t="b">
        <v>0</v>
      </c>
      <c r="P102" s="63" t="b">
        <v>0</v>
      </c>
      <c r="Q102" s="63" t="b">
        <v>0</v>
      </c>
      <c r="R102" s="63" t="b">
        <v>0</v>
      </c>
      <c r="S102" s="63" t="b">
        <v>0</v>
      </c>
      <c r="T102" s="63" t="b">
        <v>0</v>
      </c>
      <c r="U102" s="63" t="b">
        <v>1</v>
      </c>
      <c r="V102" s="63" t="b">
        <v>1</v>
      </c>
      <c r="W102" s="63" t="b">
        <v>0</v>
      </c>
      <c r="X102" s="63" t="b">
        <v>0</v>
      </c>
      <c r="Y102" s="63" t="b">
        <v>0</v>
      </c>
      <c r="Z102" s="63" t="b">
        <v>0</v>
      </c>
      <c r="AA102" s="63" t="b">
        <v>0</v>
      </c>
      <c r="AB102" s="63" t="b">
        <v>0</v>
      </c>
      <c r="AC102" s="63" t="b">
        <v>1</v>
      </c>
      <c r="AD102" s="63" t="b">
        <v>1</v>
      </c>
      <c r="AE102" s="63" t="b">
        <v>1</v>
      </c>
      <c r="AF102" s="63" t="b">
        <v>0</v>
      </c>
      <c r="AG102" s="63" t="b">
        <v>1</v>
      </c>
      <c r="AH102" s="63" t="b">
        <v>1</v>
      </c>
      <c r="AI102" s="63" t="b">
        <v>1</v>
      </c>
      <c r="AJ102" s="63" t="b">
        <v>1</v>
      </c>
      <c r="AK102" s="63" t="b">
        <v>1</v>
      </c>
      <c r="AL102" s="63" t="b">
        <v>1</v>
      </c>
      <c r="AM102" s="63" t="b">
        <v>1</v>
      </c>
      <c r="AN102" s="63" t="b">
        <v>1</v>
      </c>
      <c r="AO102" s="63" t="b">
        <v>1</v>
      </c>
      <c r="AP102" s="60"/>
      <c r="AQ102" s="54">
        <f t="shared" si="4"/>
        <v>9</v>
      </c>
    </row>
    <row r="103">
      <c r="A103" s="60" t="s">
        <v>494</v>
      </c>
      <c r="B103" s="60" t="s">
        <v>495</v>
      </c>
      <c r="C103" s="64" t="s">
        <v>496</v>
      </c>
      <c r="D103" s="60" t="s">
        <v>83</v>
      </c>
      <c r="E103" s="62">
        <f t="shared" si="1"/>
        <v>33</v>
      </c>
      <c r="F103" s="62">
        <f t="shared" si="2"/>
        <v>25</v>
      </c>
      <c r="G103" s="52">
        <f t="shared" si="3"/>
        <v>75.75757576</v>
      </c>
      <c r="H103" s="60"/>
      <c r="I103" s="63" t="b">
        <v>1</v>
      </c>
      <c r="J103" s="63" t="b">
        <v>1</v>
      </c>
      <c r="K103" s="63" t="b">
        <v>1</v>
      </c>
      <c r="L103" s="63" t="b">
        <v>1</v>
      </c>
      <c r="M103" s="63" t="b">
        <v>1</v>
      </c>
      <c r="N103" s="63" t="b">
        <v>0</v>
      </c>
      <c r="O103" s="63" t="b">
        <v>0</v>
      </c>
      <c r="P103" s="63" t="b">
        <v>0</v>
      </c>
      <c r="Q103" s="63" t="b">
        <v>1</v>
      </c>
      <c r="R103" s="63" t="b">
        <v>1</v>
      </c>
      <c r="S103" s="63" t="b">
        <v>0</v>
      </c>
      <c r="T103" s="63" t="b">
        <v>0</v>
      </c>
      <c r="U103" s="63" t="b">
        <v>1</v>
      </c>
      <c r="V103" s="63" t="b">
        <v>1</v>
      </c>
      <c r="W103" s="63" t="b">
        <v>1</v>
      </c>
      <c r="X103" s="63" t="b">
        <v>1</v>
      </c>
      <c r="Y103" s="63" t="b">
        <v>0</v>
      </c>
      <c r="Z103" s="63" t="b">
        <v>1</v>
      </c>
      <c r="AA103" s="63" t="b">
        <v>1</v>
      </c>
      <c r="AB103" s="63" t="b">
        <v>1</v>
      </c>
      <c r="AC103" s="63" t="b">
        <v>0</v>
      </c>
      <c r="AD103" s="63" t="b">
        <v>1</v>
      </c>
      <c r="AE103" s="63" t="b">
        <v>1</v>
      </c>
      <c r="AF103" s="63" t="b">
        <v>1</v>
      </c>
      <c r="AG103" s="63" t="b">
        <v>1</v>
      </c>
      <c r="AH103" s="63" t="b">
        <v>1</v>
      </c>
      <c r="AI103" s="63" t="b">
        <v>1</v>
      </c>
      <c r="AJ103" s="63" t="b">
        <v>1</v>
      </c>
      <c r="AK103" s="63" t="b">
        <v>1</v>
      </c>
      <c r="AL103" s="63" t="b">
        <v>1</v>
      </c>
      <c r="AM103" s="63" t="b">
        <v>0</v>
      </c>
      <c r="AN103" s="63" t="b">
        <v>1</v>
      </c>
      <c r="AO103" s="63" t="b">
        <v>1</v>
      </c>
      <c r="AP103" s="60"/>
      <c r="AQ103" s="54">
        <f t="shared" si="4"/>
        <v>8</v>
      </c>
    </row>
    <row r="104">
      <c r="A104" s="60" t="s">
        <v>497</v>
      </c>
      <c r="B104" s="60" t="s">
        <v>498</v>
      </c>
      <c r="C104" s="61" t="s">
        <v>499</v>
      </c>
      <c r="D104" s="60" t="s">
        <v>83</v>
      </c>
      <c r="E104" s="62">
        <f t="shared" si="1"/>
        <v>33</v>
      </c>
      <c r="F104" s="62">
        <f t="shared" si="2"/>
        <v>26</v>
      </c>
      <c r="G104" s="52">
        <f t="shared" si="3"/>
        <v>78.78787879</v>
      </c>
      <c r="H104" s="60"/>
      <c r="I104" s="63" t="b">
        <v>0</v>
      </c>
      <c r="J104" s="63" t="b">
        <v>1</v>
      </c>
      <c r="K104" s="63" t="b">
        <v>1</v>
      </c>
      <c r="L104" s="63" t="b">
        <v>1</v>
      </c>
      <c r="M104" s="63" t="b">
        <v>0</v>
      </c>
      <c r="N104" s="63" t="b">
        <v>1</v>
      </c>
      <c r="O104" s="63" t="b">
        <v>1</v>
      </c>
      <c r="P104" s="63" t="b">
        <v>1</v>
      </c>
      <c r="Q104" s="63" t="b">
        <v>1</v>
      </c>
      <c r="R104" s="63" t="b">
        <v>0</v>
      </c>
      <c r="S104" s="63" t="b">
        <v>0</v>
      </c>
      <c r="T104" s="63" t="b">
        <v>0</v>
      </c>
      <c r="U104" s="63" t="b">
        <v>0</v>
      </c>
      <c r="V104" s="63" t="b">
        <v>0</v>
      </c>
      <c r="W104" s="63" t="b">
        <v>1</v>
      </c>
      <c r="X104" s="63" t="b">
        <v>1</v>
      </c>
      <c r="Y104" s="63" t="b">
        <v>1</v>
      </c>
      <c r="Z104" s="63" t="b">
        <v>1</v>
      </c>
      <c r="AA104" s="63" t="b">
        <v>1</v>
      </c>
      <c r="AB104" s="63" t="b">
        <v>1</v>
      </c>
      <c r="AC104" s="63" t="b">
        <v>1</v>
      </c>
      <c r="AD104" s="63" t="b">
        <v>1</v>
      </c>
      <c r="AE104" s="63" t="b">
        <v>1</v>
      </c>
      <c r="AF104" s="63" t="b">
        <v>1</v>
      </c>
      <c r="AG104" s="63" t="b">
        <v>1</v>
      </c>
      <c r="AH104" s="63" t="b">
        <v>1</v>
      </c>
      <c r="AI104" s="63" t="b">
        <v>1</v>
      </c>
      <c r="AJ104" s="63" t="b">
        <v>1</v>
      </c>
      <c r="AK104" s="63" t="b">
        <v>1</v>
      </c>
      <c r="AL104" s="63" t="b">
        <v>1</v>
      </c>
      <c r="AM104" s="63" t="b">
        <v>1</v>
      </c>
      <c r="AN104" s="63" t="b">
        <v>1</v>
      </c>
      <c r="AO104" s="63" t="b">
        <v>1</v>
      </c>
      <c r="AP104" s="60"/>
      <c r="AQ104" s="54">
        <f t="shared" si="4"/>
        <v>9</v>
      </c>
    </row>
    <row r="105">
      <c r="A105" s="60" t="s">
        <v>500</v>
      </c>
      <c r="B105" s="60" t="s">
        <v>501</v>
      </c>
      <c r="C105" s="61">
        <v>8.417819845E9</v>
      </c>
      <c r="D105" s="60" t="s">
        <v>83</v>
      </c>
      <c r="E105" s="62">
        <f t="shared" si="1"/>
        <v>33</v>
      </c>
      <c r="F105" s="62">
        <f t="shared" si="2"/>
        <v>19</v>
      </c>
      <c r="G105" s="55">
        <f t="shared" si="3"/>
        <v>57.57575758</v>
      </c>
      <c r="H105" s="60"/>
      <c r="I105" s="63" t="b">
        <v>1</v>
      </c>
      <c r="J105" s="63" t="b">
        <v>1</v>
      </c>
      <c r="K105" s="63" t="b">
        <v>1</v>
      </c>
      <c r="L105" s="63" t="b">
        <v>1</v>
      </c>
      <c r="M105" s="63" t="b">
        <v>0</v>
      </c>
      <c r="N105" s="63" t="b">
        <v>1</v>
      </c>
      <c r="O105" s="63" t="b">
        <v>1</v>
      </c>
      <c r="P105" s="63" t="b">
        <v>1</v>
      </c>
      <c r="Q105" s="63" t="b">
        <v>0</v>
      </c>
      <c r="R105" s="63" t="b">
        <v>0</v>
      </c>
      <c r="S105" s="63" t="b">
        <v>0</v>
      </c>
      <c r="T105" s="63" t="b">
        <v>0</v>
      </c>
      <c r="U105" s="63" t="b">
        <v>0</v>
      </c>
      <c r="V105" s="63" t="b">
        <v>0</v>
      </c>
      <c r="W105" s="63" t="b">
        <v>0</v>
      </c>
      <c r="X105" s="63" t="b">
        <v>0</v>
      </c>
      <c r="Y105" s="63" t="b">
        <v>0</v>
      </c>
      <c r="Z105" s="63" t="b">
        <v>0</v>
      </c>
      <c r="AA105" s="63" t="b">
        <v>0</v>
      </c>
      <c r="AB105" s="63" t="b">
        <v>0</v>
      </c>
      <c r="AC105" s="63" t="b">
        <v>1</v>
      </c>
      <c r="AD105" s="63" t="b">
        <v>1</v>
      </c>
      <c r="AE105" s="63" t="b">
        <v>1</v>
      </c>
      <c r="AF105" s="63" t="b">
        <v>1</v>
      </c>
      <c r="AG105" s="63" t="b">
        <v>1</v>
      </c>
      <c r="AH105" s="63" t="b">
        <v>0</v>
      </c>
      <c r="AI105" s="63" t="b">
        <v>1</v>
      </c>
      <c r="AJ105" s="63" t="b">
        <v>1</v>
      </c>
      <c r="AK105" s="63" t="b">
        <v>1</v>
      </c>
      <c r="AL105" s="63" t="b">
        <v>1</v>
      </c>
      <c r="AM105" s="63" t="b">
        <v>1</v>
      </c>
      <c r="AN105" s="63" t="b">
        <v>1</v>
      </c>
      <c r="AO105" s="63" t="b">
        <v>1</v>
      </c>
      <c r="AP105" s="60"/>
      <c r="AQ105" s="54">
        <f t="shared" si="4"/>
        <v>8</v>
      </c>
    </row>
    <row r="106">
      <c r="A106" s="60" t="s">
        <v>502</v>
      </c>
      <c r="B106" s="60" t="s">
        <v>503</v>
      </c>
      <c r="C106" s="61">
        <v>8.318043169E9</v>
      </c>
      <c r="D106" s="60" t="s">
        <v>83</v>
      </c>
      <c r="E106" s="62">
        <f t="shared" si="1"/>
        <v>33</v>
      </c>
      <c r="F106" s="62">
        <f t="shared" si="2"/>
        <v>23</v>
      </c>
      <c r="G106" s="55">
        <f t="shared" si="3"/>
        <v>69.6969697</v>
      </c>
      <c r="H106" s="60"/>
      <c r="I106" s="63" t="b">
        <v>1</v>
      </c>
      <c r="J106" s="63" t="b">
        <v>1</v>
      </c>
      <c r="K106" s="63" t="b">
        <v>1</v>
      </c>
      <c r="L106" s="63" t="b">
        <v>1</v>
      </c>
      <c r="M106" s="63" t="b">
        <v>1</v>
      </c>
      <c r="N106" s="63" t="b">
        <v>1</v>
      </c>
      <c r="O106" s="63" t="b">
        <v>0</v>
      </c>
      <c r="P106" s="63" t="b">
        <v>0</v>
      </c>
      <c r="Q106" s="63" t="b">
        <v>1</v>
      </c>
      <c r="R106" s="63" t="b">
        <v>1</v>
      </c>
      <c r="S106" s="63" t="b">
        <v>1</v>
      </c>
      <c r="T106" s="63" t="b">
        <v>1</v>
      </c>
      <c r="U106" s="63" t="b">
        <v>1</v>
      </c>
      <c r="V106" s="63" t="b">
        <v>1</v>
      </c>
      <c r="W106" s="63" t="b">
        <v>1</v>
      </c>
      <c r="X106" s="63" t="b">
        <v>0</v>
      </c>
      <c r="Y106" s="63" t="b">
        <v>0</v>
      </c>
      <c r="Z106" s="63" t="b">
        <v>0</v>
      </c>
      <c r="AA106" s="63" t="b">
        <v>0</v>
      </c>
      <c r="AB106" s="63" t="b">
        <v>0</v>
      </c>
      <c r="AC106" s="63" t="b">
        <v>1</v>
      </c>
      <c r="AD106" s="63" t="b">
        <v>1</v>
      </c>
      <c r="AE106" s="63" t="b">
        <v>0</v>
      </c>
      <c r="AF106" s="63" t="b">
        <v>1</v>
      </c>
      <c r="AG106" s="63" t="b">
        <v>0</v>
      </c>
      <c r="AH106" s="63" t="b">
        <v>0</v>
      </c>
      <c r="AI106" s="63" t="b">
        <v>1</v>
      </c>
      <c r="AJ106" s="63" t="b">
        <v>1</v>
      </c>
      <c r="AK106" s="63" t="b">
        <v>1</v>
      </c>
      <c r="AL106" s="63" t="b">
        <v>1</v>
      </c>
      <c r="AM106" s="63" t="b">
        <v>1</v>
      </c>
      <c r="AN106" s="63" t="b">
        <v>1</v>
      </c>
      <c r="AO106" s="63" t="b">
        <v>1</v>
      </c>
      <c r="AP106" s="60"/>
      <c r="AQ106" s="54">
        <f t="shared" si="4"/>
        <v>7</v>
      </c>
    </row>
    <row r="107">
      <c r="A107" s="60" t="s">
        <v>504</v>
      </c>
      <c r="B107" s="60" t="s">
        <v>505</v>
      </c>
      <c r="C107" s="61">
        <v>9.670796603E9</v>
      </c>
      <c r="D107" s="60" t="s">
        <v>83</v>
      </c>
      <c r="E107" s="62">
        <f t="shared" si="1"/>
        <v>33</v>
      </c>
      <c r="F107" s="62">
        <f t="shared" si="2"/>
        <v>6</v>
      </c>
      <c r="G107" s="55">
        <f t="shared" si="3"/>
        <v>18.18181818</v>
      </c>
      <c r="H107" s="60"/>
      <c r="I107" s="63" t="b">
        <v>0</v>
      </c>
      <c r="J107" s="63" t="b">
        <v>0</v>
      </c>
      <c r="K107" s="63" t="b">
        <v>0</v>
      </c>
      <c r="L107" s="63" t="b">
        <v>0</v>
      </c>
      <c r="M107" s="63" t="b">
        <v>0</v>
      </c>
      <c r="N107" s="63" t="b">
        <v>0</v>
      </c>
      <c r="O107" s="63" t="b">
        <v>0</v>
      </c>
      <c r="P107" s="63" t="b">
        <v>0</v>
      </c>
      <c r="Q107" s="63" t="b">
        <v>0</v>
      </c>
      <c r="R107" s="63" t="b">
        <v>0</v>
      </c>
      <c r="S107" s="63" t="b">
        <v>0</v>
      </c>
      <c r="T107" s="63" t="b">
        <v>0</v>
      </c>
      <c r="U107" s="63" t="b">
        <v>0</v>
      </c>
      <c r="V107" s="63" t="b">
        <v>0</v>
      </c>
      <c r="W107" s="63" t="b">
        <v>0</v>
      </c>
      <c r="X107" s="63" t="b">
        <v>0</v>
      </c>
      <c r="Y107" s="63" t="b">
        <v>0</v>
      </c>
      <c r="Z107" s="63" t="b">
        <v>0</v>
      </c>
      <c r="AA107" s="63" t="b">
        <v>0</v>
      </c>
      <c r="AB107" s="63" t="b">
        <v>0</v>
      </c>
      <c r="AC107" s="63" t="b">
        <v>1</v>
      </c>
      <c r="AD107" s="63" t="b">
        <v>1</v>
      </c>
      <c r="AE107" s="63" t="b">
        <v>0</v>
      </c>
      <c r="AF107" s="63" t="b">
        <v>0</v>
      </c>
      <c r="AG107" s="63" t="b">
        <v>1</v>
      </c>
      <c r="AH107" s="63" t="b">
        <v>1</v>
      </c>
      <c r="AI107" s="63" t="b">
        <v>0</v>
      </c>
      <c r="AJ107" s="63" t="b">
        <v>1</v>
      </c>
      <c r="AK107" s="63" t="b">
        <v>1</v>
      </c>
      <c r="AL107" s="63" t="b">
        <v>0</v>
      </c>
      <c r="AM107" s="63" t="b">
        <v>0</v>
      </c>
      <c r="AN107" s="63" t="b">
        <v>0</v>
      </c>
      <c r="AO107" s="63" t="b">
        <v>0</v>
      </c>
      <c r="AP107" s="60"/>
      <c r="AQ107" s="54">
        <f t="shared" si="4"/>
        <v>4</v>
      </c>
    </row>
    <row r="108">
      <c r="A108" s="60" t="s">
        <v>506</v>
      </c>
      <c r="B108" s="60" t="s">
        <v>507</v>
      </c>
      <c r="C108" s="64" t="s">
        <v>508</v>
      </c>
      <c r="D108" s="60" t="s">
        <v>83</v>
      </c>
      <c r="E108" s="62">
        <f t="shared" si="1"/>
        <v>33</v>
      </c>
      <c r="F108" s="62">
        <f t="shared" si="2"/>
        <v>9</v>
      </c>
      <c r="G108" s="55">
        <f t="shared" si="3"/>
        <v>27.27272727</v>
      </c>
      <c r="H108" s="60"/>
      <c r="I108" s="63" t="b">
        <v>0</v>
      </c>
      <c r="J108" s="63" t="b">
        <v>0</v>
      </c>
      <c r="K108" s="63" t="b">
        <v>0</v>
      </c>
      <c r="L108" s="63" t="b">
        <v>0</v>
      </c>
      <c r="M108" s="63" t="b">
        <v>0</v>
      </c>
      <c r="N108" s="63" t="b">
        <v>0</v>
      </c>
      <c r="O108" s="63" t="b">
        <v>0</v>
      </c>
      <c r="P108" s="63" t="b">
        <v>0</v>
      </c>
      <c r="Q108" s="63" t="b">
        <v>0</v>
      </c>
      <c r="R108" s="63" t="b">
        <v>0</v>
      </c>
      <c r="S108" s="63" t="b">
        <v>0</v>
      </c>
      <c r="T108" s="63" t="b">
        <v>0</v>
      </c>
      <c r="U108" s="63" t="b">
        <v>0</v>
      </c>
      <c r="V108" s="63" t="b">
        <v>0</v>
      </c>
      <c r="W108" s="63" t="b">
        <v>0</v>
      </c>
      <c r="X108" s="63" t="b">
        <v>0</v>
      </c>
      <c r="Y108" s="63" t="b">
        <v>0</v>
      </c>
      <c r="Z108" s="63" t="b">
        <v>0</v>
      </c>
      <c r="AA108" s="63" t="b">
        <v>0</v>
      </c>
      <c r="AB108" s="63" t="b">
        <v>0</v>
      </c>
      <c r="AC108" s="63" t="b">
        <v>0</v>
      </c>
      <c r="AD108" s="63" t="b">
        <v>0</v>
      </c>
      <c r="AE108" s="63" t="b">
        <v>1</v>
      </c>
      <c r="AF108" s="63" t="b">
        <v>1</v>
      </c>
      <c r="AG108" s="63" t="b">
        <v>1</v>
      </c>
      <c r="AH108" s="63" t="b">
        <v>1</v>
      </c>
      <c r="AI108" s="63" t="b">
        <v>0</v>
      </c>
      <c r="AJ108" s="63" t="b">
        <v>0</v>
      </c>
      <c r="AK108" s="63" t="b">
        <v>1</v>
      </c>
      <c r="AL108" s="63" t="b">
        <v>1</v>
      </c>
      <c r="AM108" s="63" t="b">
        <v>1</v>
      </c>
      <c r="AN108" s="63" t="b">
        <v>1</v>
      </c>
      <c r="AO108" s="63" t="b">
        <v>1</v>
      </c>
      <c r="AP108" s="60"/>
      <c r="AQ108" s="54">
        <f t="shared" si="4"/>
        <v>7</v>
      </c>
    </row>
    <row r="109">
      <c r="A109" s="60" t="s">
        <v>509</v>
      </c>
      <c r="B109" s="60" t="s">
        <v>510</v>
      </c>
      <c r="C109" s="64" t="s">
        <v>511</v>
      </c>
      <c r="D109" s="60" t="s">
        <v>83</v>
      </c>
      <c r="E109" s="62">
        <f t="shared" si="1"/>
        <v>33</v>
      </c>
      <c r="F109" s="62">
        <f t="shared" si="2"/>
        <v>18</v>
      </c>
      <c r="G109" s="55">
        <f t="shared" si="3"/>
        <v>54.54545455</v>
      </c>
      <c r="H109" s="60"/>
      <c r="I109" s="63" t="b">
        <v>1</v>
      </c>
      <c r="J109" s="63" t="b">
        <v>1</v>
      </c>
      <c r="K109" s="63" t="b">
        <v>0</v>
      </c>
      <c r="L109" s="63" t="b">
        <v>0</v>
      </c>
      <c r="M109" s="63" t="b">
        <v>0</v>
      </c>
      <c r="N109" s="63" t="b">
        <v>0</v>
      </c>
      <c r="O109" s="63" t="b">
        <v>0</v>
      </c>
      <c r="P109" s="63" t="b">
        <v>0</v>
      </c>
      <c r="Q109" s="63" t="b">
        <v>0</v>
      </c>
      <c r="R109" s="63" t="b">
        <v>0</v>
      </c>
      <c r="S109" s="63" t="b">
        <v>1</v>
      </c>
      <c r="T109" s="63" t="b">
        <v>0</v>
      </c>
      <c r="U109" s="63" t="b">
        <v>1</v>
      </c>
      <c r="V109" s="63" t="b">
        <v>1</v>
      </c>
      <c r="W109" s="63" t="b">
        <v>0</v>
      </c>
      <c r="X109" s="63" t="b">
        <v>0</v>
      </c>
      <c r="Y109" s="63" t="b">
        <v>1</v>
      </c>
      <c r="Z109" s="63" t="b">
        <v>1</v>
      </c>
      <c r="AA109" s="63" t="b">
        <v>1</v>
      </c>
      <c r="AB109" s="63" t="b">
        <v>1</v>
      </c>
      <c r="AC109" s="63" t="b">
        <v>1</v>
      </c>
      <c r="AD109" s="63" t="b">
        <v>1</v>
      </c>
      <c r="AE109" s="63" t="b">
        <v>1</v>
      </c>
      <c r="AF109" s="63" t="b">
        <v>1</v>
      </c>
      <c r="AG109" s="63" t="b">
        <v>0</v>
      </c>
      <c r="AH109" s="63" t="b">
        <v>0</v>
      </c>
      <c r="AI109" s="63" t="b">
        <v>0</v>
      </c>
      <c r="AJ109" s="63" t="b">
        <v>0</v>
      </c>
      <c r="AK109" s="63" t="b">
        <v>1</v>
      </c>
      <c r="AL109" s="63" t="b">
        <v>1</v>
      </c>
      <c r="AM109" s="63" t="b">
        <v>1</v>
      </c>
      <c r="AN109" s="63" t="b">
        <v>1</v>
      </c>
      <c r="AO109" s="63" t="b">
        <v>1</v>
      </c>
      <c r="AP109" s="60"/>
      <c r="AQ109" s="54">
        <f t="shared" si="4"/>
        <v>5</v>
      </c>
    </row>
    <row r="110">
      <c r="A110" s="60" t="s">
        <v>512</v>
      </c>
      <c r="B110" s="60" t="s">
        <v>513</v>
      </c>
      <c r="C110" s="64" t="s">
        <v>514</v>
      </c>
      <c r="D110" s="60" t="s">
        <v>83</v>
      </c>
      <c r="E110" s="62">
        <f t="shared" si="1"/>
        <v>33</v>
      </c>
      <c r="F110" s="62">
        <f t="shared" si="2"/>
        <v>28</v>
      </c>
      <c r="G110" s="52">
        <f t="shared" si="3"/>
        <v>84.84848485</v>
      </c>
      <c r="H110" s="60"/>
      <c r="I110" s="63" t="b">
        <v>1</v>
      </c>
      <c r="J110" s="63" t="b">
        <v>1</v>
      </c>
      <c r="K110" s="63" t="b">
        <v>0</v>
      </c>
      <c r="L110" s="63" t="b">
        <v>1</v>
      </c>
      <c r="M110" s="63" t="b">
        <v>1</v>
      </c>
      <c r="N110" s="63" t="b">
        <v>1</v>
      </c>
      <c r="O110" s="63" t="b">
        <v>0</v>
      </c>
      <c r="P110" s="63" t="b">
        <v>0</v>
      </c>
      <c r="Q110" s="63" t="b">
        <v>1</v>
      </c>
      <c r="R110" s="63" t="b">
        <v>1</v>
      </c>
      <c r="S110" s="63" t="b">
        <v>1</v>
      </c>
      <c r="T110" s="63" t="b">
        <v>0</v>
      </c>
      <c r="U110" s="63" t="b">
        <v>1</v>
      </c>
      <c r="V110" s="63" t="b">
        <v>1</v>
      </c>
      <c r="W110" s="63" t="b">
        <v>0</v>
      </c>
      <c r="X110" s="63" t="b">
        <v>1</v>
      </c>
      <c r="Y110" s="63" t="b">
        <v>1</v>
      </c>
      <c r="Z110" s="63" t="b">
        <v>1</v>
      </c>
      <c r="AA110" s="63" t="b">
        <v>1</v>
      </c>
      <c r="AB110" s="63" t="b">
        <v>1</v>
      </c>
      <c r="AC110" s="63" t="b">
        <v>1</v>
      </c>
      <c r="AD110" s="63" t="b">
        <v>1</v>
      </c>
      <c r="AE110" s="63" t="b">
        <v>1</v>
      </c>
      <c r="AF110" s="63" t="b">
        <v>1</v>
      </c>
      <c r="AG110" s="63" t="b">
        <v>1</v>
      </c>
      <c r="AH110" s="63" t="b">
        <v>1</v>
      </c>
      <c r="AI110" s="63" t="b">
        <v>1</v>
      </c>
      <c r="AJ110" s="63" t="b">
        <v>1</v>
      </c>
      <c r="AK110" s="63" t="b">
        <v>1</v>
      </c>
      <c r="AL110" s="63" t="b">
        <v>1</v>
      </c>
      <c r="AM110" s="63" t="b">
        <v>1</v>
      </c>
      <c r="AN110" s="63" t="b">
        <v>1</v>
      </c>
      <c r="AO110" s="63" t="b">
        <v>1</v>
      </c>
      <c r="AP110" s="60"/>
      <c r="AQ110" s="54">
        <f t="shared" si="4"/>
        <v>9</v>
      </c>
    </row>
    <row r="111">
      <c r="A111" s="60" t="s">
        <v>515</v>
      </c>
      <c r="B111" s="60" t="s">
        <v>516</v>
      </c>
      <c r="C111" s="64" t="s">
        <v>517</v>
      </c>
      <c r="D111" s="60" t="s">
        <v>83</v>
      </c>
      <c r="E111" s="62">
        <f t="shared" si="1"/>
        <v>33</v>
      </c>
      <c r="F111" s="62">
        <f t="shared" si="2"/>
        <v>33</v>
      </c>
      <c r="G111" s="52">
        <f t="shared" si="3"/>
        <v>100</v>
      </c>
      <c r="H111" s="60"/>
      <c r="I111" s="63" t="b">
        <v>1</v>
      </c>
      <c r="J111" s="63" t="b">
        <v>1</v>
      </c>
      <c r="K111" s="63" t="b">
        <v>1</v>
      </c>
      <c r="L111" s="63" t="b">
        <v>1</v>
      </c>
      <c r="M111" s="63" t="b">
        <v>1</v>
      </c>
      <c r="N111" s="63" t="b">
        <v>1</v>
      </c>
      <c r="O111" s="63" t="b">
        <v>1</v>
      </c>
      <c r="P111" s="63" t="b">
        <v>1</v>
      </c>
      <c r="Q111" s="63" t="b">
        <v>1</v>
      </c>
      <c r="R111" s="63" t="b">
        <v>1</v>
      </c>
      <c r="S111" s="63" t="b">
        <v>1</v>
      </c>
      <c r="T111" s="63" t="b">
        <v>1</v>
      </c>
      <c r="U111" s="63" t="b">
        <v>1</v>
      </c>
      <c r="V111" s="63" t="b">
        <v>1</v>
      </c>
      <c r="W111" s="63" t="b">
        <v>1</v>
      </c>
      <c r="X111" s="63" t="b">
        <v>1</v>
      </c>
      <c r="Y111" s="63" t="b">
        <v>1</v>
      </c>
      <c r="Z111" s="63" t="b">
        <v>1</v>
      </c>
      <c r="AA111" s="63" t="b">
        <v>1</v>
      </c>
      <c r="AB111" s="63" t="b">
        <v>1</v>
      </c>
      <c r="AC111" s="63" t="b">
        <v>1</v>
      </c>
      <c r="AD111" s="63" t="b">
        <v>1</v>
      </c>
      <c r="AE111" s="63" t="b">
        <v>1</v>
      </c>
      <c r="AF111" s="63" t="b">
        <v>1</v>
      </c>
      <c r="AG111" s="63" t="b">
        <v>1</v>
      </c>
      <c r="AH111" s="63" t="b">
        <v>1</v>
      </c>
      <c r="AI111" s="63" t="b">
        <v>1</v>
      </c>
      <c r="AJ111" s="63" t="b">
        <v>1</v>
      </c>
      <c r="AK111" s="63" t="b">
        <v>1</v>
      </c>
      <c r="AL111" s="63" t="b">
        <v>1</v>
      </c>
      <c r="AM111" s="63" t="b">
        <v>1</v>
      </c>
      <c r="AN111" s="63" t="b">
        <v>1</v>
      </c>
      <c r="AO111" s="63" t="b">
        <v>1</v>
      </c>
      <c r="AP111" s="60"/>
      <c r="AQ111" s="54">
        <f t="shared" si="4"/>
        <v>9</v>
      </c>
    </row>
    <row r="112">
      <c r="A112" s="60" t="s">
        <v>518</v>
      </c>
      <c r="B112" s="60" t="s">
        <v>519</v>
      </c>
      <c r="C112" s="61">
        <v>8.318222175E9</v>
      </c>
      <c r="D112" s="60" t="s">
        <v>83</v>
      </c>
      <c r="E112" s="62">
        <f t="shared" si="1"/>
        <v>33</v>
      </c>
      <c r="F112" s="62">
        <f t="shared" si="2"/>
        <v>18</v>
      </c>
      <c r="G112" s="55">
        <f t="shared" si="3"/>
        <v>54.54545455</v>
      </c>
      <c r="H112" s="60"/>
      <c r="I112" s="63" t="b">
        <v>0</v>
      </c>
      <c r="J112" s="63" t="b">
        <v>0</v>
      </c>
      <c r="K112" s="63" t="b">
        <v>0</v>
      </c>
      <c r="L112" s="63" t="b">
        <v>0</v>
      </c>
      <c r="M112" s="63" t="b">
        <v>1</v>
      </c>
      <c r="N112" s="63" t="b">
        <v>1</v>
      </c>
      <c r="O112" s="63" t="b">
        <v>1</v>
      </c>
      <c r="P112" s="63" t="b">
        <v>0</v>
      </c>
      <c r="Q112" s="63" t="b">
        <v>0</v>
      </c>
      <c r="R112" s="63" t="b">
        <v>1</v>
      </c>
      <c r="S112" s="63" t="b">
        <v>1</v>
      </c>
      <c r="T112" s="63" t="b">
        <v>0</v>
      </c>
      <c r="U112" s="63" t="b">
        <v>1</v>
      </c>
      <c r="V112" s="63" t="b">
        <v>1</v>
      </c>
      <c r="W112" s="63" t="b">
        <v>0</v>
      </c>
      <c r="X112" s="63" t="b">
        <v>1</v>
      </c>
      <c r="Y112" s="63" t="b">
        <v>0</v>
      </c>
      <c r="Z112" s="63" t="b">
        <v>1</v>
      </c>
      <c r="AA112" s="63" t="b">
        <v>1</v>
      </c>
      <c r="AB112" s="63" t="b">
        <v>0</v>
      </c>
      <c r="AC112" s="63" t="b">
        <v>1</v>
      </c>
      <c r="AD112" s="63" t="b">
        <v>0</v>
      </c>
      <c r="AE112" s="63" t="b">
        <v>1</v>
      </c>
      <c r="AF112" s="63" t="b">
        <v>1</v>
      </c>
      <c r="AG112" s="63" t="b">
        <v>0</v>
      </c>
      <c r="AH112" s="63" t="b">
        <v>0</v>
      </c>
      <c r="AI112" s="63" t="b">
        <v>1</v>
      </c>
      <c r="AJ112" s="63" t="b">
        <v>1</v>
      </c>
      <c r="AK112" s="63" t="b">
        <v>0</v>
      </c>
      <c r="AL112" s="63" t="b">
        <v>1</v>
      </c>
      <c r="AM112" s="63" t="b">
        <v>0</v>
      </c>
      <c r="AN112" s="63" t="b">
        <v>1</v>
      </c>
      <c r="AO112" s="63" t="b">
        <v>1</v>
      </c>
      <c r="AP112" s="60"/>
      <c r="AQ112" s="54">
        <f t="shared" si="4"/>
        <v>5</v>
      </c>
    </row>
    <row r="113">
      <c r="A113" s="60" t="s">
        <v>520</v>
      </c>
      <c r="B113" s="60" t="s">
        <v>521</v>
      </c>
      <c r="C113" s="64" t="s">
        <v>522</v>
      </c>
      <c r="D113" s="60" t="s">
        <v>83</v>
      </c>
      <c r="E113" s="62">
        <f t="shared" si="1"/>
        <v>33</v>
      </c>
      <c r="F113" s="62">
        <f t="shared" si="2"/>
        <v>27</v>
      </c>
      <c r="G113" s="52">
        <f t="shared" si="3"/>
        <v>81.81818182</v>
      </c>
      <c r="H113" s="60"/>
      <c r="I113" s="63" t="b">
        <v>1</v>
      </c>
      <c r="J113" s="63" t="b">
        <v>1</v>
      </c>
      <c r="K113" s="63" t="b">
        <v>1</v>
      </c>
      <c r="L113" s="63" t="b">
        <v>0</v>
      </c>
      <c r="M113" s="63" t="b">
        <v>1</v>
      </c>
      <c r="N113" s="63" t="b">
        <v>1</v>
      </c>
      <c r="O113" s="63" t="b">
        <v>1</v>
      </c>
      <c r="P113" s="63" t="b">
        <v>1</v>
      </c>
      <c r="Q113" s="63" t="b">
        <v>1</v>
      </c>
      <c r="R113" s="63" t="b">
        <v>0</v>
      </c>
      <c r="S113" s="63" t="b">
        <v>1</v>
      </c>
      <c r="T113" s="63" t="b">
        <v>1</v>
      </c>
      <c r="U113" s="63" t="b">
        <v>1</v>
      </c>
      <c r="V113" s="63" t="b">
        <v>1</v>
      </c>
      <c r="W113" s="63" t="b">
        <v>1</v>
      </c>
      <c r="X113" s="63" t="b">
        <v>1</v>
      </c>
      <c r="Y113" s="63" t="b">
        <v>0</v>
      </c>
      <c r="Z113" s="63" t="b">
        <v>0</v>
      </c>
      <c r="AA113" s="63" t="b">
        <v>0</v>
      </c>
      <c r="AB113" s="63" t="b">
        <v>0</v>
      </c>
      <c r="AC113" s="63" t="b">
        <v>1</v>
      </c>
      <c r="AD113" s="63" t="b">
        <v>1</v>
      </c>
      <c r="AE113" s="63" t="b">
        <v>1</v>
      </c>
      <c r="AF113" s="63" t="b">
        <v>1</v>
      </c>
      <c r="AG113" s="63" t="b">
        <v>1</v>
      </c>
      <c r="AH113" s="63" t="b">
        <v>1</v>
      </c>
      <c r="AI113" s="63" t="b">
        <v>1</v>
      </c>
      <c r="AJ113" s="63" t="b">
        <v>1</v>
      </c>
      <c r="AK113" s="63" t="b">
        <v>1</v>
      </c>
      <c r="AL113" s="63" t="b">
        <v>1</v>
      </c>
      <c r="AM113" s="63" t="b">
        <v>1</v>
      </c>
      <c r="AN113" s="63" t="b">
        <v>1</v>
      </c>
      <c r="AO113" s="63" t="b">
        <v>1</v>
      </c>
      <c r="AP113" s="60"/>
      <c r="AQ113" s="54">
        <f t="shared" si="4"/>
        <v>9</v>
      </c>
    </row>
    <row r="114">
      <c r="A114" s="60" t="s">
        <v>523</v>
      </c>
      <c r="B114" s="60" t="s">
        <v>524</v>
      </c>
      <c r="C114" s="64" t="s">
        <v>525</v>
      </c>
      <c r="D114" s="60" t="s">
        <v>83</v>
      </c>
      <c r="E114" s="62">
        <f t="shared" si="1"/>
        <v>33</v>
      </c>
      <c r="F114" s="62">
        <f t="shared" si="2"/>
        <v>31</v>
      </c>
      <c r="G114" s="52">
        <f t="shared" si="3"/>
        <v>93.93939394</v>
      </c>
      <c r="H114" s="60"/>
      <c r="I114" s="63" t="b">
        <v>1</v>
      </c>
      <c r="J114" s="63" t="b">
        <v>1</v>
      </c>
      <c r="K114" s="63" t="b">
        <v>1</v>
      </c>
      <c r="L114" s="63" t="b">
        <v>1</v>
      </c>
      <c r="M114" s="63" t="b">
        <v>1</v>
      </c>
      <c r="N114" s="63" t="b">
        <v>1</v>
      </c>
      <c r="O114" s="63" t="b">
        <v>1</v>
      </c>
      <c r="P114" s="63" t="b">
        <v>1</v>
      </c>
      <c r="Q114" s="63" t="b">
        <v>1</v>
      </c>
      <c r="R114" s="63" t="b">
        <v>1</v>
      </c>
      <c r="S114" s="63" t="b">
        <v>1</v>
      </c>
      <c r="T114" s="63" t="b">
        <v>1</v>
      </c>
      <c r="U114" s="63" t="b">
        <v>1</v>
      </c>
      <c r="V114" s="63" t="b">
        <v>1</v>
      </c>
      <c r="W114" s="63" t="b">
        <v>0</v>
      </c>
      <c r="X114" s="63" t="b">
        <v>0</v>
      </c>
      <c r="Y114" s="63" t="b">
        <v>1</v>
      </c>
      <c r="Z114" s="63" t="b">
        <v>1</v>
      </c>
      <c r="AA114" s="63" t="b">
        <v>1</v>
      </c>
      <c r="AB114" s="63" t="b">
        <v>1</v>
      </c>
      <c r="AC114" s="63" t="b">
        <v>1</v>
      </c>
      <c r="AD114" s="63" t="b">
        <v>1</v>
      </c>
      <c r="AE114" s="63" t="b">
        <v>1</v>
      </c>
      <c r="AF114" s="63" t="b">
        <v>1</v>
      </c>
      <c r="AG114" s="63" t="b">
        <v>1</v>
      </c>
      <c r="AH114" s="63" t="b">
        <v>1</v>
      </c>
      <c r="AI114" s="63" t="b">
        <v>1</v>
      </c>
      <c r="AJ114" s="63" t="b">
        <v>1</v>
      </c>
      <c r="AK114" s="63" t="b">
        <v>1</v>
      </c>
      <c r="AL114" s="63" t="b">
        <v>1</v>
      </c>
      <c r="AM114" s="63" t="b">
        <v>1</v>
      </c>
      <c r="AN114" s="63" t="b">
        <v>1</v>
      </c>
      <c r="AO114" s="63" t="b">
        <v>1</v>
      </c>
      <c r="AP114" s="60"/>
      <c r="AQ114" s="54">
        <f t="shared" si="4"/>
        <v>9</v>
      </c>
    </row>
    <row r="115">
      <c r="A115" s="60" t="s">
        <v>526</v>
      </c>
      <c r="B115" s="60" t="s">
        <v>527</v>
      </c>
      <c r="C115" s="61">
        <v>6.392182928E9</v>
      </c>
      <c r="D115" s="60" t="s">
        <v>83</v>
      </c>
      <c r="E115" s="62">
        <f t="shared" si="1"/>
        <v>33</v>
      </c>
      <c r="F115" s="62">
        <f t="shared" si="2"/>
        <v>25</v>
      </c>
      <c r="G115" s="52">
        <f t="shared" si="3"/>
        <v>75.75757576</v>
      </c>
      <c r="H115" s="60"/>
      <c r="I115" s="63" t="b">
        <v>0</v>
      </c>
      <c r="J115" s="63" t="b">
        <v>0</v>
      </c>
      <c r="K115" s="63" t="b">
        <v>0</v>
      </c>
      <c r="L115" s="63" t="b">
        <v>1</v>
      </c>
      <c r="M115" s="63" t="b">
        <v>0</v>
      </c>
      <c r="N115" s="63" t="b">
        <v>1</v>
      </c>
      <c r="O115" s="63" t="b">
        <v>0</v>
      </c>
      <c r="P115" s="63" t="b">
        <v>0</v>
      </c>
      <c r="Q115" s="63" t="b">
        <v>0</v>
      </c>
      <c r="R115" s="63" t="b">
        <v>1</v>
      </c>
      <c r="S115" s="63" t="b">
        <v>1</v>
      </c>
      <c r="T115" s="63" t="b">
        <v>1</v>
      </c>
      <c r="U115" s="63" t="b">
        <v>1</v>
      </c>
      <c r="V115" s="63" t="b">
        <v>1</v>
      </c>
      <c r="W115" s="63" t="b">
        <v>1</v>
      </c>
      <c r="X115" s="63" t="b">
        <v>1</v>
      </c>
      <c r="Y115" s="63" t="b">
        <v>1</v>
      </c>
      <c r="Z115" s="63" t="b">
        <v>1</v>
      </c>
      <c r="AA115" s="63" t="b">
        <v>1</v>
      </c>
      <c r="AB115" s="63" t="b">
        <v>1</v>
      </c>
      <c r="AC115" s="63" t="b">
        <v>1</v>
      </c>
      <c r="AD115" s="63" t="b">
        <v>1</v>
      </c>
      <c r="AE115" s="63" t="b">
        <v>0</v>
      </c>
      <c r="AF115" s="63" t="b">
        <v>1</v>
      </c>
      <c r="AG115" s="63" t="b">
        <v>1</v>
      </c>
      <c r="AH115" s="63" t="b">
        <v>1</v>
      </c>
      <c r="AI115" s="63" t="b">
        <v>1</v>
      </c>
      <c r="AJ115" s="63" t="b">
        <v>1</v>
      </c>
      <c r="AK115" s="63" t="b">
        <v>1</v>
      </c>
      <c r="AL115" s="63" t="b">
        <v>1</v>
      </c>
      <c r="AM115" s="63" t="b">
        <v>1</v>
      </c>
      <c r="AN115" s="63" t="b">
        <v>1</v>
      </c>
      <c r="AO115" s="63" t="b">
        <v>1</v>
      </c>
      <c r="AP115" s="60"/>
      <c r="AQ115" s="54">
        <f t="shared" si="4"/>
        <v>9</v>
      </c>
    </row>
    <row r="116">
      <c r="A116" s="60" t="s">
        <v>528</v>
      </c>
      <c r="B116" s="60" t="s">
        <v>529</v>
      </c>
      <c r="C116" s="64" t="s">
        <v>530</v>
      </c>
      <c r="D116" s="60" t="s">
        <v>83</v>
      </c>
      <c r="E116" s="62">
        <f t="shared" si="1"/>
        <v>33</v>
      </c>
      <c r="F116" s="62">
        <f t="shared" si="2"/>
        <v>5</v>
      </c>
      <c r="G116" s="55">
        <f t="shared" si="3"/>
        <v>15.15151515</v>
      </c>
      <c r="H116" s="60"/>
      <c r="I116" s="63" t="b">
        <v>0</v>
      </c>
      <c r="J116" s="63" t="b">
        <v>0</v>
      </c>
      <c r="K116" s="63" t="b">
        <v>0</v>
      </c>
      <c r="L116" s="63" t="b">
        <v>0</v>
      </c>
      <c r="M116" s="63" t="b">
        <v>0</v>
      </c>
      <c r="N116" s="63" t="b">
        <v>0</v>
      </c>
      <c r="O116" s="63" t="b">
        <v>0</v>
      </c>
      <c r="P116" s="63" t="b">
        <v>0</v>
      </c>
      <c r="Q116" s="63" t="b">
        <v>0</v>
      </c>
      <c r="R116" s="63" t="b">
        <v>0</v>
      </c>
      <c r="S116" s="63" t="b">
        <v>0</v>
      </c>
      <c r="T116" s="63" t="b">
        <v>0</v>
      </c>
      <c r="U116" s="63" t="b">
        <v>0</v>
      </c>
      <c r="V116" s="63" t="b">
        <v>0</v>
      </c>
      <c r="W116" s="63" t="b">
        <v>0</v>
      </c>
      <c r="X116" s="63" t="b">
        <v>0</v>
      </c>
      <c r="Y116" s="63" t="b">
        <v>0</v>
      </c>
      <c r="Z116" s="63" t="b">
        <v>0</v>
      </c>
      <c r="AA116" s="63" t="b">
        <v>0</v>
      </c>
      <c r="AB116" s="63" t="b">
        <v>0</v>
      </c>
      <c r="AC116" s="63" t="b">
        <v>0</v>
      </c>
      <c r="AD116" s="63" t="b">
        <v>0</v>
      </c>
      <c r="AE116" s="63" t="b">
        <v>0</v>
      </c>
      <c r="AF116" s="63" t="b">
        <v>0</v>
      </c>
      <c r="AG116" s="63" t="b">
        <v>1</v>
      </c>
      <c r="AH116" s="63" t="b">
        <v>0</v>
      </c>
      <c r="AI116" s="63" t="b">
        <v>0</v>
      </c>
      <c r="AJ116" s="63" t="b">
        <v>0</v>
      </c>
      <c r="AK116" s="63" t="b">
        <v>1</v>
      </c>
      <c r="AL116" s="63" t="b">
        <v>0</v>
      </c>
      <c r="AM116" s="63" t="b">
        <v>1</v>
      </c>
      <c r="AN116" s="63" t="b">
        <v>1</v>
      </c>
      <c r="AO116" s="63" t="b">
        <v>1</v>
      </c>
      <c r="AP116" s="60"/>
      <c r="AQ116" s="54">
        <f t="shared" si="4"/>
        <v>5</v>
      </c>
    </row>
    <row r="117">
      <c r="A117" s="60" t="s">
        <v>531</v>
      </c>
      <c r="B117" s="60" t="s">
        <v>532</v>
      </c>
      <c r="C117" s="64" t="s">
        <v>533</v>
      </c>
      <c r="D117" s="60" t="s">
        <v>83</v>
      </c>
      <c r="E117" s="62">
        <f t="shared" si="1"/>
        <v>33</v>
      </c>
      <c r="F117" s="62">
        <f t="shared" si="2"/>
        <v>31</v>
      </c>
      <c r="G117" s="52">
        <f t="shared" si="3"/>
        <v>93.93939394</v>
      </c>
      <c r="H117" s="60"/>
      <c r="I117" s="63" t="b">
        <v>1</v>
      </c>
      <c r="J117" s="63" t="b">
        <v>1</v>
      </c>
      <c r="K117" s="63" t="b">
        <v>1</v>
      </c>
      <c r="L117" s="63" t="b">
        <v>0</v>
      </c>
      <c r="M117" s="63" t="b">
        <v>1</v>
      </c>
      <c r="N117" s="63" t="b">
        <v>1</v>
      </c>
      <c r="O117" s="63" t="b">
        <v>1</v>
      </c>
      <c r="P117" s="63" t="b">
        <v>1</v>
      </c>
      <c r="Q117" s="63" t="b">
        <v>1</v>
      </c>
      <c r="R117" s="63" t="b">
        <v>1</v>
      </c>
      <c r="S117" s="63" t="b">
        <v>0</v>
      </c>
      <c r="T117" s="63" t="b">
        <v>1</v>
      </c>
      <c r="U117" s="63" t="b">
        <v>1</v>
      </c>
      <c r="V117" s="63" t="b">
        <v>1</v>
      </c>
      <c r="W117" s="63" t="b">
        <v>1</v>
      </c>
      <c r="X117" s="63" t="b">
        <v>1</v>
      </c>
      <c r="Y117" s="63" t="b">
        <v>1</v>
      </c>
      <c r="Z117" s="63" t="b">
        <v>1</v>
      </c>
      <c r="AA117" s="63" t="b">
        <v>1</v>
      </c>
      <c r="AB117" s="63" t="b">
        <v>1</v>
      </c>
      <c r="AC117" s="63" t="b">
        <v>1</v>
      </c>
      <c r="AD117" s="63" t="b">
        <v>1</v>
      </c>
      <c r="AE117" s="63" t="b">
        <v>1</v>
      </c>
      <c r="AF117" s="63" t="b">
        <v>1</v>
      </c>
      <c r="AG117" s="63" t="b">
        <v>1</v>
      </c>
      <c r="AH117" s="63" t="b">
        <v>1</v>
      </c>
      <c r="AI117" s="63" t="b">
        <v>1</v>
      </c>
      <c r="AJ117" s="63" t="b">
        <v>1</v>
      </c>
      <c r="AK117" s="63" t="b">
        <v>1</v>
      </c>
      <c r="AL117" s="63" t="b">
        <v>1</v>
      </c>
      <c r="AM117" s="63" t="b">
        <v>1</v>
      </c>
      <c r="AN117" s="63" t="b">
        <v>1</v>
      </c>
      <c r="AO117" s="63" t="b">
        <v>1</v>
      </c>
      <c r="AP117" s="60"/>
      <c r="AQ117" s="54">
        <f t="shared" si="4"/>
        <v>9</v>
      </c>
    </row>
    <row r="118">
      <c r="A118" s="60" t="s">
        <v>534</v>
      </c>
      <c r="B118" s="60" t="s">
        <v>535</v>
      </c>
      <c r="C118" s="64" t="s">
        <v>536</v>
      </c>
      <c r="D118" s="60" t="s">
        <v>83</v>
      </c>
      <c r="E118" s="62">
        <f t="shared" si="1"/>
        <v>33</v>
      </c>
      <c r="F118" s="62">
        <f t="shared" si="2"/>
        <v>32</v>
      </c>
      <c r="G118" s="52">
        <f t="shared" si="3"/>
        <v>96.96969697</v>
      </c>
      <c r="H118" s="60"/>
      <c r="I118" s="63" t="b">
        <v>1</v>
      </c>
      <c r="J118" s="63" t="b">
        <v>1</v>
      </c>
      <c r="K118" s="63" t="b">
        <v>1</v>
      </c>
      <c r="L118" s="63" t="b">
        <v>1</v>
      </c>
      <c r="M118" s="63" t="b">
        <v>1</v>
      </c>
      <c r="N118" s="63" t="b">
        <v>1</v>
      </c>
      <c r="O118" s="63" t="b">
        <v>1</v>
      </c>
      <c r="P118" s="63" t="b">
        <v>1</v>
      </c>
      <c r="Q118" s="63" t="b">
        <v>1</v>
      </c>
      <c r="R118" s="63" t="b">
        <v>1</v>
      </c>
      <c r="S118" s="63" t="b">
        <v>1</v>
      </c>
      <c r="T118" s="63" t="b">
        <v>1</v>
      </c>
      <c r="U118" s="63" t="b">
        <v>0</v>
      </c>
      <c r="V118" s="63" t="b">
        <v>1</v>
      </c>
      <c r="W118" s="63" t="b">
        <v>1</v>
      </c>
      <c r="X118" s="63" t="b">
        <v>1</v>
      </c>
      <c r="Y118" s="63" t="b">
        <v>1</v>
      </c>
      <c r="Z118" s="63" t="b">
        <v>1</v>
      </c>
      <c r="AA118" s="63" t="b">
        <v>1</v>
      </c>
      <c r="AB118" s="63" t="b">
        <v>1</v>
      </c>
      <c r="AC118" s="63" t="b">
        <v>1</v>
      </c>
      <c r="AD118" s="63" t="b">
        <v>1</v>
      </c>
      <c r="AE118" s="63" t="b">
        <v>1</v>
      </c>
      <c r="AF118" s="63" t="b">
        <v>1</v>
      </c>
      <c r="AG118" s="63" t="b">
        <v>1</v>
      </c>
      <c r="AH118" s="63" t="b">
        <v>1</v>
      </c>
      <c r="AI118" s="63" t="b">
        <v>1</v>
      </c>
      <c r="AJ118" s="63" t="b">
        <v>1</v>
      </c>
      <c r="AK118" s="63" t="b">
        <v>1</v>
      </c>
      <c r="AL118" s="63" t="b">
        <v>1</v>
      </c>
      <c r="AM118" s="63" t="b">
        <v>1</v>
      </c>
      <c r="AN118" s="63" t="b">
        <v>1</v>
      </c>
      <c r="AO118" s="63" t="b">
        <v>1</v>
      </c>
      <c r="AP118" s="60"/>
      <c r="AQ118" s="54">
        <f t="shared" si="4"/>
        <v>9</v>
      </c>
    </row>
    <row r="119">
      <c r="A119" s="60" t="s">
        <v>537</v>
      </c>
      <c r="B119" s="60" t="s">
        <v>538</v>
      </c>
      <c r="C119" s="64" t="s">
        <v>539</v>
      </c>
      <c r="D119" s="60" t="s">
        <v>83</v>
      </c>
      <c r="E119" s="62">
        <f t="shared" si="1"/>
        <v>33</v>
      </c>
      <c r="F119" s="62">
        <f t="shared" si="2"/>
        <v>25</v>
      </c>
      <c r="G119" s="52">
        <f t="shared" si="3"/>
        <v>75.75757576</v>
      </c>
      <c r="H119" s="60"/>
      <c r="I119" s="63" t="b">
        <v>1</v>
      </c>
      <c r="J119" s="63" t="b">
        <v>1</v>
      </c>
      <c r="K119" s="63" t="b">
        <v>1</v>
      </c>
      <c r="L119" s="63" t="b">
        <v>1</v>
      </c>
      <c r="M119" s="63" t="b">
        <v>0</v>
      </c>
      <c r="N119" s="63" t="b">
        <v>1</v>
      </c>
      <c r="O119" s="63" t="b">
        <v>0</v>
      </c>
      <c r="P119" s="63" t="b">
        <v>0</v>
      </c>
      <c r="Q119" s="63" t="b">
        <v>0</v>
      </c>
      <c r="R119" s="63" t="b">
        <v>0</v>
      </c>
      <c r="S119" s="63" t="b">
        <v>1</v>
      </c>
      <c r="T119" s="63" t="b">
        <v>1</v>
      </c>
      <c r="U119" s="63" t="b">
        <v>1</v>
      </c>
      <c r="V119" s="63" t="b">
        <v>0</v>
      </c>
      <c r="W119" s="63" t="b">
        <v>1</v>
      </c>
      <c r="X119" s="63" t="b">
        <v>1</v>
      </c>
      <c r="Y119" s="63" t="b">
        <v>0</v>
      </c>
      <c r="Z119" s="63" t="b">
        <v>0</v>
      </c>
      <c r="AA119" s="63" t="b">
        <v>1</v>
      </c>
      <c r="AB119" s="63" t="b">
        <v>1</v>
      </c>
      <c r="AC119" s="63" t="b">
        <v>1</v>
      </c>
      <c r="AD119" s="63" t="b">
        <v>1</v>
      </c>
      <c r="AE119" s="63" t="b">
        <v>1</v>
      </c>
      <c r="AF119" s="63" t="b">
        <v>1</v>
      </c>
      <c r="AG119" s="63" t="b">
        <v>1</v>
      </c>
      <c r="AH119" s="63" t="b">
        <v>1</v>
      </c>
      <c r="AI119" s="63" t="b">
        <v>1</v>
      </c>
      <c r="AJ119" s="63" t="b">
        <v>1</v>
      </c>
      <c r="AK119" s="63" t="b">
        <v>1</v>
      </c>
      <c r="AL119" s="63" t="b">
        <v>1</v>
      </c>
      <c r="AM119" s="63" t="b">
        <v>1</v>
      </c>
      <c r="AN119" s="63" t="b">
        <v>1</v>
      </c>
      <c r="AO119" s="63" t="b">
        <v>1</v>
      </c>
      <c r="AP119" s="60"/>
      <c r="AQ119" s="54">
        <f t="shared" si="4"/>
        <v>9</v>
      </c>
    </row>
    <row r="120">
      <c r="A120" s="60" t="s">
        <v>540</v>
      </c>
      <c r="B120" s="60" t="s">
        <v>541</v>
      </c>
      <c r="C120" s="64" t="s">
        <v>542</v>
      </c>
      <c r="D120" s="60" t="s">
        <v>83</v>
      </c>
      <c r="E120" s="62">
        <f t="shared" si="1"/>
        <v>33</v>
      </c>
      <c r="F120" s="62">
        <f t="shared" si="2"/>
        <v>24</v>
      </c>
      <c r="G120" s="52">
        <f t="shared" si="3"/>
        <v>72.72727273</v>
      </c>
      <c r="H120" s="60"/>
      <c r="I120" s="63" t="b">
        <v>1</v>
      </c>
      <c r="J120" s="63" t="b">
        <v>1</v>
      </c>
      <c r="K120" s="63" t="b">
        <v>1</v>
      </c>
      <c r="L120" s="63" t="b">
        <v>1</v>
      </c>
      <c r="M120" s="63" t="b">
        <v>1</v>
      </c>
      <c r="N120" s="63" t="b">
        <v>1</v>
      </c>
      <c r="O120" s="63" t="b">
        <v>0</v>
      </c>
      <c r="P120" s="63" t="b">
        <v>0</v>
      </c>
      <c r="Q120" s="63" t="b">
        <v>0</v>
      </c>
      <c r="R120" s="63" t="b">
        <v>0</v>
      </c>
      <c r="S120" s="63" t="b">
        <v>1</v>
      </c>
      <c r="T120" s="63" t="b">
        <v>1</v>
      </c>
      <c r="U120" s="63" t="b">
        <v>0</v>
      </c>
      <c r="V120" s="63" t="b">
        <v>1</v>
      </c>
      <c r="W120" s="63" t="b">
        <v>1</v>
      </c>
      <c r="X120" s="63" t="b">
        <v>1</v>
      </c>
      <c r="Y120" s="63" t="b">
        <v>1</v>
      </c>
      <c r="Z120" s="63" t="b">
        <v>1</v>
      </c>
      <c r="AA120" s="63" t="b">
        <v>0</v>
      </c>
      <c r="AB120" s="63" t="b">
        <v>0</v>
      </c>
      <c r="AC120" s="63" t="b">
        <v>0</v>
      </c>
      <c r="AD120" s="63" t="b">
        <v>0</v>
      </c>
      <c r="AE120" s="63" t="b">
        <v>1</v>
      </c>
      <c r="AF120" s="63" t="b">
        <v>1</v>
      </c>
      <c r="AG120" s="63" t="b">
        <v>1</v>
      </c>
      <c r="AH120" s="63" t="b">
        <v>1</v>
      </c>
      <c r="AI120" s="63" t="b">
        <v>1</v>
      </c>
      <c r="AJ120" s="63" t="b">
        <v>1</v>
      </c>
      <c r="AK120" s="63" t="b">
        <v>1</v>
      </c>
      <c r="AL120" s="63" t="b">
        <v>1</v>
      </c>
      <c r="AM120" s="63" t="b">
        <v>1</v>
      </c>
      <c r="AN120" s="63" t="b">
        <v>1</v>
      </c>
      <c r="AO120" s="63" t="b">
        <v>1</v>
      </c>
      <c r="AP120" s="60"/>
      <c r="AQ120" s="54">
        <f t="shared" si="4"/>
        <v>9</v>
      </c>
    </row>
    <row r="121">
      <c r="A121" s="60" t="s">
        <v>543</v>
      </c>
      <c r="B121" s="60" t="s">
        <v>544</v>
      </c>
      <c r="C121" s="61" t="s">
        <v>545</v>
      </c>
      <c r="D121" s="60" t="s">
        <v>83</v>
      </c>
      <c r="E121" s="62">
        <f t="shared" si="1"/>
        <v>33</v>
      </c>
      <c r="F121" s="62">
        <f t="shared" si="2"/>
        <v>0</v>
      </c>
      <c r="G121" s="55">
        <f t="shared" si="3"/>
        <v>0</v>
      </c>
      <c r="H121" s="60"/>
      <c r="I121" s="63" t="b">
        <v>0</v>
      </c>
      <c r="J121" s="63" t="b">
        <v>0</v>
      </c>
      <c r="K121" s="63" t="b">
        <v>0</v>
      </c>
      <c r="L121" s="63" t="b">
        <v>0</v>
      </c>
      <c r="M121" s="63" t="b">
        <v>0</v>
      </c>
      <c r="N121" s="63" t="b">
        <v>0</v>
      </c>
      <c r="O121" s="63" t="b">
        <v>0</v>
      </c>
      <c r="P121" s="63" t="b">
        <v>0</v>
      </c>
      <c r="Q121" s="63" t="b">
        <v>0</v>
      </c>
      <c r="R121" s="63" t="b">
        <v>0</v>
      </c>
      <c r="S121" s="63" t="b">
        <v>0</v>
      </c>
      <c r="T121" s="63" t="b">
        <v>0</v>
      </c>
      <c r="U121" s="63" t="b">
        <v>0</v>
      </c>
      <c r="V121" s="63" t="b">
        <v>0</v>
      </c>
      <c r="W121" s="63" t="b">
        <v>0</v>
      </c>
      <c r="X121" s="63" t="b">
        <v>0</v>
      </c>
      <c r="Y121" s="63" t="b">
        <v>0</v>
      </c>
      <c r="Z121" s="63" t="b">
        <v>0</v>
      </c>
      <c r="AA121" s="63" t="b">
        <v>0</v>
      </c>
      <c r="AB121" s="63" t="b">
        <v>0</v>
      </c>
      <c r="AC121" s="63" t="b">
        <v>0</v>
      </c>
      <c r="AD121" s="63" t="b">
        <v>0</v>
      </c>
      <c r="AE121" s="63" t="b">
        <v>0</v>
      </c>
      <c r="AF121" s="63" t="b">
        <v>0</v>
      </c>
      <c r="AG121" s="63" t="b">
        <v>0</v>
      </c>
      <c r="AH121" s="63" t="b">
        <v>0</v>
      </c>
      <c r="AI121" s="63" t="b">
        <v>0</v>
      </c>
      <c r="AJ121" s="63" t="b">
        <v>0</v>
      </c>
      <c r="AK121" s="63" t="b">
        <v>0</v>
      </c>
      <c r="AL121" s="63" t="b">
        <v>0</v>
      </c>
      <c r="AM121" s="63" t="b">
        <v>0</v>
      </c>
      <c r="AN121" s="63" t="b">
        <v>0</v>
      </c>
      <c r="AO121" s="63" t="b">
        <v>0</v>
      </c>
      <c r="AP121" s="60"/>
      <c r="AQ121" s="54">
        <f t="shared" si="4"/>
        <v>0</v>
      </c>
    </row>
    <row r="122">
      <c r="A122" s="60" t="s">
        <v>546</v>
      </c>
      <c r="B122" s="60" t="s">
        <v>547</v>
      </c>
      <c r="C122" s="64" t="s">
        <v>548</v>
      </c>
      <c r="D122" s="60" t="s">
        <v>83</v>
      </c>
      <c r="E122" s="62">
        <f t="shared" si="1"/>
        <v>33</v>
      </c>
      <c r="F122" s="62">
        <f t="shared" si="2"/>
        <v>23</v>
      </c>
      <c r="G122" s="55">
        <f t="shared" si="3"/>
        <v>69.6969697</v>
      </c>
      <c r="H122" s="60"/>
      <c r="I122" s="63" t="b">
        <v>1</v>
      </c>
      <c r="J122" s="63" t="b">
        <v>1</v>
      </c>
      <c r="K122" s="63" t="b">
        <v>1</v>
      </c>
      <c r="L122" s="63" t="b">
        <v>0</v>
      </c>
      <c r="M122" s="63" t="b">
        <v>1</v>
      </c>
      <c r="N122" s="63" t="b">
        <v>1</v>
      </c>
      <c r="O122" s="63" t="b">
        <v>1</v>
      </c>
      <c r="P122" s="63" t="b">
        <v>1</v>
      </c>
      <c r="Q122" s="63" t="b">
        <v>1</v>
      </c>
      <c r="R122" s="63" t="b">
        <v>1</v>
      </c>
      <c r="S122" s="63" t="b">
        <v>1</v>
      </c>
      <c r="T122" s="63" t="b">
        <v>1</v>
      </c>
      <c r="U122" s="63" t="b">
        <v>1</v>
      </c>
      <c r="V122" s="63" t="b">
        <v>0</v>
      </c>
      <c r="W122" s="63" t="b">
        <v>1</v>
      </c>
      <c r="X122" s="63" t="b">
        <v>0</v>
      </c>
      <c r="Y122" s="63" t="b">
        <v>0</v>
      </c>
      <c r="Z122" s="63" t="b">
        <v>0</v>
      </c>
      <c r="AA122" s="63" t="b">
        <v>1</v>
      </c>
      <c r="AB122" s="63" t="b">
        <v>0</v>
      </c>
      <c r="AC122" s="63" t="b">
        <v>1</v>
      </c>
      <c r="AD122" s="63" t="b">
        <v>1</v>
      </c>
      <c r="AE122" s="63" t="b">
        <v>1</v>
      </c>
      <c r="AF122" s="63" t="b">
        <v>0</v>
      </c>
      <c r="AG122" s="63" t="b">
        <v>0</v>
      </c>
      <c r="AH122" s="63" t="b">
        <v>1</v>
      </c>
      <c r="AI122" s="63" t="b">
        <v>0</v>
      </c>
      <c r="AJ122" s="63" t="b">
        <v>0</v>
      </c>
      <c r="AK122" s="63" t="b">
        <v>1</v>
      </c>
      <c r="AL122" s="63" t="b">
        <v>1</v>
      </c>
      <c r="AM122" s="63" t="b">
        <v>1</v>
      </c>
      <c r="AN122" s="63" t="b">
        <v>1</v>
      </c>
      <c r="AO122" s="63" t="b">
        <v>1</v>
      </c>
      <c r="AP122" s="60"/>
      <c r="AQ122" s="54">
        <f t="shared" si="4"/>
        <v>6</v>
      </c>
    </row>
    <row r="123">
      <c r="A123" s="60" t="s">
        <v>549</v>
      </c>
      <c r="B123" s="60" t="s">
        <v>550</v>
      </c>
      <c r="C123" s="64" t="s">
        <v>551</v>
      </c>
      <c r="D123" s="60" t="s">
        <v>83</v>
      </c>
      <c r="E123" s="62">
        <f t="shared" si="1"/>
        <v>33</v>
      </c>
      <c r="F123" s="62">
        <f t="shared" si="2"/>
        <v>25</v>
      </c>
      <c r="G123" s="52">
        <f t="shared" si="3"/>
        <v>75.75757576</v>
      </c>
      <c r="H123" s="60"/>
      <c r="I123" s="63" t="b">
        <v>1</v>
      </c>
      <c r="J123" s="63" t="b">
        <v>1</v>
      </c>
      <c r="K123" s="63" t="b">
        <v>1</v>
      </c>
      <c r="L123" s="63" t="b">
        <v>1</v>
      </c>
      <c r="M123" s="63" t="b">
        <v>1</v>
      </c>
      <c r="N123" s="63" t="b">
        <v>0</v>
      </c>
      <c r="O123" s="63" t="b">
        <v>0</v>
      </c>
      <c r="P123" s="63" t="b">
        <v>0</v>
      </c>
      <c r="Q123" s="63" t="b">
        <v>1</v>
      </c>
      <c r="R123" s="63" t="b">
        <v>1</v>
      </c>
      <c r="S123" s="63" t="b">
        <v>1</v>
      </c>
      <c r="T123" s="63" t="b">
        <v>1</v>
      </c>
      <c r="U123" s="63" t="b">
        <v>0</v>
      </c>
      <c r="V123" s="63" t="b">
        <v>1</v>
      </c>
      <c r="W123" s="63" t="b">
        <v>0</v>
      </c>
      <c r="X123" s="63" t="b">
        <v>0</v>
      </c>
      <c r="Y123" s="63" t="b">
        <v>1</v>
      </c>
      <c r="Z123" s="63" t="b">
        <v>1</v>
      </c>
      <c r="AA123" s="63" t="b">
        <v>1</v>
      </c>
      <c r="AB123" s="63" t="b">
        <v>1</v>
      </c>
      <c r="AC123" s="63" t="b">
        <v>1</v>
      </c>
      <c r="AD123" s="63" t="b">
        <v>1</v>
      </c>
      <c r="AE123" s="63" t="b">
        <v>1</v>
      </c>
      <c r="AF123" s="63" t="b">
        <v>1</v>
      </c>
      <c r="AG123" s="63" t="b">
        <v>1</v>
      </c>
      <c r="AH123" s="63" t="b">
        <v>1</v>
      </c>
      <c r="AI123" s="63" t="b">
        <v>0</v>
      </c>
      <c r="AJ123" s="63" t="b">
        <v>0</v>
      </c>
      <c r="AK123" s="63" t="b">
        <v>1</v>
      </c>
      <c r="AL123" s="63" t="b">
        <v>1</v>
      </c>
      <c r="AM123" s="63" t="b">
        <v>1</v>
      </c>
      <c r="AN123" s="63" t="b">
        <v>1</v>
      </c>
      <c r="AO123" s="63" t="b">
        <v>1</v>
      </c>
      <c r="AP123" s="60"/>
      <c r="AQ123" s="54">
        <f t="shared" si="4"/>
        <v>7</v>
      </c>
    </row>
    <row r="124">
      <c r="A124" s="60" t="s">
        <v>552</v>
      </c>
      <c r="B124" s="60" t="s">
        <v>553</v>
      </c>
      <c r="C124" s="64" t="s">
        <v>554</v>
      </c>
      <c r="D124" s="60" t="s">
        <v>83</v>
      </c>
      <c r="E124" s="62">
        <f t="shared" si="1"/>
        <v>33</v>
      </c>
      <c r="F124" s="62">
        <f t="shared" si="2"/>
        <v>16</v>
      </c>
      <c r="G124" s="55">
        <f t="shared" si="3"/>
        <v>48.48484848</v>
      </c>
      <c r="H124" s="60"/>
      <c r="I124" s="63" t="b">
        <v>1</v>
      </c>
      <c r="J124" s="63" t="b">
        <v>1</v>
      </c>
      <c r="K124" s="63" t="b">
        <v>1</v>
      </c>
      <c r="L124" s="63" t="b">
        <v>1</v>
      </c>
      <c r="M124" s="63" t="b">
        <v>1</v>
      </c>
      <c r="N124" s="63" t="b">
        <v>0</v>
      </c>
      <c r="O124" s="63" t="b">
        <v>0</v>
      </c>
      <c r="P124" s="63" t="b">
        <v>0</v>
      </c>
      <c r="Q124" s="63" t="b">
        <v>0</v>
      </c>
      <c r="R124" s="63" t="b">
        <v>0</v>
      </c>
      <c r="S124" s="63" t="b">
        <v>0</v>
      </c>
      <c r="T124" s="63" t="b">
        <v>0</v>
      </c>
      <c r="U124" s="63" t="b">
        <v>0</v>
      </c>
      <c r="V124" s="63" t="b">
        <v>0</v>
      </c>
      <c r="W124" s="63" t="b">
        <v>0</v>
      </c>
      <c r="X124" s="63" t="b">
        <v>0</v>
      </c>
      <c r="Y124" s="63" t="b">
        <v>0</v>
      </c>
      <c r="Z124" s="63" t="b">
        <v>0</v>
      </c>
      <c r="AA124" s="63" t="b">
        <v>0</v>
      </c>
      <c r="AB124" s="63" t="b">
        <v>0</v>
      </c>
      <c r="AC124" s="63" t="b">
        <v>1</v>
      </c>
      <c r="AD124" s="63" t="b">
        <v>1</v>
      </c>
      <c r="AE124" s="63" t="b">
        <v>1</v>
      </c>
      <c r="AF124" s="63" t="b">
        <v>1</v>
      </c>
      <c r="AG124" s="63" t="b">
        <v>1</v>
      </c>
      <c r="AH124" s="63" t="b">
        <v>1</v>
      </c>
      <c r="AI124" s="63" t="b">
        <v>0</v>
      </c>
      <c r="AJ124" s="63" t="b">
        <v>0</v>
      </c>
      <c r="AK124" s="63" t="b">
        <v>1</v>
      </c>
      <c r="AL124" s="63" t="b">
        <v>1</v>
      </c>
      <c r="AM124" s="63" t="b">
        <v>1</v>
      </c>
      <c r="AN124" s="63" t="b">
        <v>1</v>
      </c>
      <c r="AO124" s="63" t="b">
        <v>1</v>
      </c>
      <c r="AP124" s="60"/>
      <c r="AQ124" s="54">
        <f t="shared" si="4"/>
        <v>7</v>
      </c>
    </row>
    <row r="125">
      <c r="A125" s="60" t="s">
        <v>555</v>
      </c>
      <c r="B125" s="60" t="s">
        <v>556</v>
      </c>
      <c r="C125" s="61">
        <v>9.555424867E9</v>
      </c>
      <c r="D125" s="60" t="s">
        <v>83</v>
      </c>
      <c r="E125" s="62">
        <f t="shared" si="1"/>
        <v>33</v>
      </c>
      <c r="F125" s="62">
        <f t="shared" si="2"/>
        <v>15</v>
      </c>
      <c r="G125" s="55">
        <f t="shared" si="3"/>
        <v>45.45454545</v>
      </c>
      <c r="H125" s="60"/>
      <c r="I125" s="63" t="b">
        <v>0</v>
      </c>
      <c r="J125" s="63" t="b">
        <v>0</v>
      </c>
      <c r="K125" s="63" t="b">
        <v>0</v>
      </c>
      <c r="L125" s="63" t="b">
        <v>0</v>
      </c>
      <c r="M125" s="63" t="b">
        <v>0</v>
      </c>
      <c r="N125" s="63" t="b">
        <v>0</v>
      </c>
      <c r="O125" s="63" t="b">
        <v>1</v>
      </c>
      <c r="P125" s="63" t="b">
        <v>1</v>
      </c>
      <c r="Q125" s="63" t="b">
        <v>0</v>
      </c>
      <c r="R125" s="63" t="b">
        <v>0</v>
      </c>
      <c r="S125" s="63" t="b">
        <v>0</v>
      </c>
      <c r="T125" s="63" t="b">
        <v>0</v>
      </c>
      <c r="U125" s="63" t="b">
        <v>0</v>
      </c>
      <c r="V125" s="63" t="b">
        <v>0</v>
      </c>
      <c r="W125" s="63" t="b">
        <v>0</v>
      </c>
      <c r="X125" s="63" t="b">
        <v>0</v>
      </c>
      <c r="Y125" s="63" t="b">
        <v>0</v>
      </c>
      <c r="Z125" s="63" t="b">
        <v>0</v>
      </c>
      <c r="AA125" s="63" t="b">
        <v>0</v>
      </c>
      <c r="AB125" s="63" t="b">
        <v>0</v>
      </c>
      <c r="AC125" s="63" t="b">
        <v>1</v>
      </c>
      <c r="AD125" s="63" t="b">
        <v>1</v>
      </c>
      <c r="AE125" s="63" t="b">
        <v>1</v>
      </c>
      <c r="AF125" s="63" t="b">
        <v>1</v>
      </c>
      <c r="AG125" s="63" t="b">
        <v>1</v>
      </c>
      <c r="AH125" s="63" t="b">
        <v>1</v>
      </c>
      <c r="AI125" s="63" t="b">
        <v>1</v>
      </c>
      <c r="AJ125" s="63" t="b">
        <v>1</v>
      </c>
      <c r="AK125" s="63" t="b">
        <v>1</v>
      </c>
      <c r="AL125" s="63" t="b">
        <v>1</v>
      </c>
      <c r="AM125" s="63" t="b">
        <v>1</v>
      </c>
      <c r="AN125" s="63" t="b">
        <v>1</v>
      </c>
      <c r="AO125" s="63" t="b">
        <v>1</v>
      </c>
      <c r="AP125" s="60"/>
      <c r="AQ125" s="54">
        <f t="shared" si="4"/>
        <v>9</v>
      </c>
    </row>
    <row r="126">
      <c r="A126" s="60" t="s">
        <v>557</v>
      </c>
      <c r="B126" s="60" t="s">
        <v>558</v>
      </c>
      <c r="C126" s="64" t="s">
        <v>559</v>
      </c>
      <c r="D126" s="60" t="s">
        <v>83</v>
      </c>
      <c r="E126" s="62">
        <f t="shared" si="1"/>
        <v>33</v>
      </c>
      <c r="F126" s="62">
        <f t="shared" si="2"/>
        <v>24</v>
      </c>
      <c r="G126" s="52">
        <f t="shared" si="3"/>
        <v>72.72727273</v>
      </c>
      <c r="H126" s="60"/>
      <c r="I126" s="63" t="b">
        <v>1</v>
      </c>
      <c r="J126" s="63" t="b">
        <v>1</v>
      </c>
      <c r="K126" s="63" t="b">
        <v>1</v>
      </c>
      <c r="L126" s="63" t="b">
        <v>1</v>
      </c>
      <c r="M126" s="63" t="b">
        <v>0</v>
      </c>
      <c r="N126" s="63" t="b">
        <v>1</v>
      </c>
      <c r="O126" s="63" t="b">
        <v>1</v>
      </c>
      <c r="P126" s="63" t="b">
        <v>0</v>
      </c>
      <c r="Q126" s="63" t="b">
        <v>1</v>
      </c>
      <c r="R126" s="63" t="b">
        <v>1</v>
      </c>
      <c r="S126" s="63" t="b">
        <v>0</v>
      </c>
      <c r="T126" s="63" t="b">
        <v>1</v>
      </c>
      <c r="U126" s="63" t="b">
        <v>1</v>
      </c>
      <c r="V126" s="63" t="b">
        <v>0</v>
      </c>
      <c r="W126" s="63" t="b">
        <v>1</v>
      </c>
      <c r="X126" s="63" t="b">
        <v>0</v>
      </c>
      <c r="Y126" s="63" t="b">
        <v>1</v>
      </c>
      <c r="Z126" s="63" t="b">
        <v>0</v>
      </c>
      <c r="AA126" s="63" t="b">
        <v>1</v>
      </c>
      <c r="AB126" s="63" t="b">
        <v>1</v>
      </c>
      <c r="AC126" s="63" t="b">
        <v>1</v>
      </c>
      <c r="AD126" s="63" t="b">
        <v>1</v>
      </c>
      <c r="AE126" s="63" t="b">
        <v>0</v>
      </c>
      <c r="AF126" s="63" t="b">
        <v>0</v>
      </c>
      <c r="AG126" s="63" t="b">
        <v>0</v>
      </c>
      <c r="AH126" s="63" t="b">
        <v>1</v>
      </c>
      <c r="AI126" s="63" t="b">
        <v>1</v>
      </c>
      <c r="AJ126" s="63" t="b">
        <v>1</v>
      </c>
      <c r="AK126" s="63" t="b">
        <v>1</v>
      </c>
      <c r="AL126" s="63" t="b">
        <v>1</v>
      </c>
      <c r="AM126" s="63" t="b">
        <v>1</v>
      </c>
      <c r="AN126" s="63" t="b">
        <v>1</v>
      </c>
      <c r="AO126" s="63" t="b">
        <v>1</v>
      </c>
      <c r="AP126" s="60"/>
      <c r="AQ126" s="54">
        <f t="shared" si="4"/>
        <v>8</v>
      </c>
    </row>
    <row r="127">
      <c r="A127" s="60" t="s">
        <v>560</v>
      </c>
      <c r="B127" s="60" t="s">
        <v>561</v>
      </c>
      <c r="C127" s="64" t="s">
        <v>562</v>
      </c>
      <c r="D127" s="60" t="s">
        <v>83</v>
      </c>
      <c r="E127" s="62">
        <f t="shared" si="1"/>
        <v>33</v>
      </c>
      <c r="F127" s="62">
        <f t="shared" si="2"/>
        <v>8</v>
      </c>
      <c r="G127" s="55">
        <f t="shared" si="3"/>
        <v>24.24242424</v>
      </c>
      <c r="H127" s="60"/>
      <c r="I127" s="63" t="b">
        <v>0</v>
      </c>
      <c r="J127" s="63" t="b">
        <v>0</v>
      </c>
      <c r="K127" s="63" t="b">
        <v>0</v>
      </c>
      <c r="L127" s="63" t="b">
        <v>0</v>
      </c>
      <c r="M127" s="63" t="b">
        <v>0</v>
      </c>
      <c r="N127" s="63" t="b">
        <v>0</v>
      </c>
      <c r="O127" s="63" t="b">
        <v>0</v>
      </c>
      <c r="P127" s="63" t="b">
        <v>0</v>
      </c>
      <c r="Q127" s="63" t="b">
        <v>0</v>
      </c>
      <c r="R127" s="63" t="b">
        <v>0</v>
      </c>
      <c r="S127" s="63" t="b">
        <v>0</v>
      </c>
      <c r="T127" s="63" t="b">
        <v>0</v>
      </c>
      <c r="U127" s="63" t="b">
        <v>0</v>
      </c>
      <c r="V127" s="63" t="b">
        <v>0</v>
      </c>
      <c r="W127" s="63" t="b">
        <v>0</v>
      </c>
      <c r="X127" s="63" t="b">
        <v>0</v>
      </c>
      <c r="Y127" s="63" t="b">
        <v>0</v>
      </c>
      <c r="Z127" s="63" t="b">
        <v>0</v>
      </c>
      <c r="AA127" s="63" t="b">
        <v>0</v>
      </c>
      <c r="AB127" s="63" t="b">
        <v>0</v>
      </c>
      <c r="AC127" s="63" t="b">
        <v>1</v>
      </c>
      <c r="AD127" s="63" t="b">
        <v>1</v>
      </c>
      <c r="AE127" s="63" t="b">
        <v>0</v>
      </c>
      <c r="AF127" s="63" t="b">
        <v>0</v>
      </c>
      <c r="AG127" s="63" t="b">
        <v>0</v>
      </c>
      <c r="AH127" s="63" t="b">
        <v>1</v>
      </c>
      <c r="AI127" s="63" t="b">
        <v>0</v>
      </c>
      <c r="AJ127" s="63" t="b">
        <v>1</v>
      </c>
      <c r="AK127" s="63" t="b">
        <v>1</v>
      </c>
      <c r="AL127" s="63" t="b">
        <v>1</v>
      </c>
      <c r="AM127" s="63" t="b">
        <v>0</v>
      </c>
      <c r="AN127" s="63" t="b">
        <v>1</v>
      </c>
      <c r="AO127" s="63" t="b">
        <v>1</v>
      </c>
      <c r="AP127" s="60"/>
      <c r="AQ127" s="54">
        <f t="shared" si="4"/>
        <v>6</v>
      </c>
    </row>
    <row r="128">
      <c r="A128" s="60" t="s">
        <v>563</v>
      </c>
      <c r="B128" s="60" t="s">
        <v>564</v>
      </c>
      <c r="C128" s="64" t="s">
        <v>565</v>
      </c>
      <c r="D128" s="60" t="s">
        <v>83</v>
      </c>
      <c r="E128" s="62">
        <f t="shared" si="1"/>
        <v>33</v>
      </c>
      <c r="F128" s="62">
        <f t="shared" si="2"/>
        <v>24</v>
      </c>
      <c r="G128" s="52">
        <f t="shared" si="3"/>
        <v>72.72727273</v>
      </c>
      <c r="H128" s="60"/>
      <c r="I128" s="63" t="b">
        <v>1</v>
      </c>
      <c r="J128" s="63" t="b">
        <v>1</v>
      </c>
      <c r="K128" s="63" t="b">
        <v>1</v>
      </c>
      <c r="L128" s="63" t="b">
        <v>1</v>
      </c>
      <c r="M128" s="63" t="b">
        <v>0</v>
      </c>
      <c r="N128" s="63" t="b">
        <v>1</v>
      </c>
      <c r="O128" s="63" t="b">
        <v>1</v>
      </c>
      <c r="P128" s="63" t="b">
        <v>1</v>
      </c>
      <c r="Q128" s="63" t="b">
        <v>1</v>
      </c>
      <c r="R128" s="63" t="b">
        <v>0</v>
      </c>
      <c r="S128" s="63" t="b">
        <v>1</v>
      </c>
      <c r="T128" s="63" t="b">
        <v>1</v>
      </c>
      <c r="U128" s="63" t="b">
        <v>0</v>
      </c>
      <c r="V128" s="63" t="b">
        <v>1</v>
      </c>
      <c r="W128" s="63" t="b">
        <v>1</v>
      </c>
      <c r="X128" s="63" t="b">
        <v>0</v>
      </c>
      <c r="Y128" s="63" t="b">
        <v>0</v>
      </c>
      <c r="Z128" s="63" t="b">
        <v>1</v>
      </c>
      <c r="AA128" s="63" t="b">
        <v>0</v>
      </c>
      <c r="AB128" s="63" t="b">
        <v>1</v>
      </c>
      <c r="AC128" s="63" t="b">
        <v>1</v>
      </c>
      <c r="AD128" s="63" t="b">
        <v>0</v>
      </c>
      <c r="AE128" s="63" t="b">
        <v>1</v>
      </c>
      <c r="AF128" s="63" t="b">
        <v>1</v>
      </c>
      <c r="AG128" s="63" t="b">
        <v>0</v>
      </c>
      <c r="AH128" s="63" t="b">
        <v>0</v>
      </c>
      <c r="AI128" s="63" t="b">
        <v>1</v>
      </c>
      <c r="AJ128" s="63" t="b">
        <v>1</v>
      </c>
      <c r="AK128" s="63" t="b">
        <v>1</v>
      </c>
      <c r="AL128" s="63" t="b">
        <v>1</v>
      </c>
      <c r="AM128" s="63" t="b">
        <v>1</v>
      </c>
      <c r="AN128" s="63" t="b">
        <v>1</v>
      </c>
      <c r="AO128" s="63" t="b">
        <v>1</v>
      </c>
      <c r="AP128" s="60"/>
      <c r="AQ128" s="54">
        <f t="shared" si="4"/>
        <v>7</v>
      </c>
    </row>
    <row r="129">
      <c r="A129" s="65" t="s">
        <v>566</v>
      </c>
      <c r="B129" s="65" t="s">
        <v>567</v>
      </c>
      <c r="C129" s="66">
        <v>9.569841626E9</v>
      </c>
      <c r="D129" s="65" t="s">
        <v>83</v>
      </c>
      <c r="E129" s="67">
        <f t="shared" si="1"/>
        <v>33</v>
      </c>
      <c r="F129" s="67">
        <f t="shared" si="2"/>
        <v>14</v>
      </c>
      <c r="G129" s="55">
        <f t="shared" si="3"/>
        <v>42.42424242</v>
      </c>
      <c r="H129" s="65"/>
      <c r="I129" s="68" t="b">
        <v>0</v>
      </c>
      <c r="J129" s="68" t="b">
        <v>0</v>
      </c>
      <c r="K129" s="68" t="b">
        <v>0</v>
      </c>
      <c r="L129" s="68" t="b">
        <v>0</v>
      </c>
      <c r="M129" s="68" t="b">
        <v>0</v>
      </c>
      <c r="N129" s="68" t="b">
        <v>0</v>
      </c>
      <c r="O129" s="68" t="b">
        <v>0</v>
      </c>
      <c r="P129" s="68" t="b">
        <v>0</v>
      </c>
      <c r="Q129" s="68" t="b">
        <v>0</v>
      </c>
      <c r="R129" s="68" t="b">
        <v>0</v>
      </c>
      <c r="S129" s="68" t="b">
        <v>0</v>
      </c>
      <c r="T129" s="68" t="b">
        <v>0</v>
      </c>
      <c r="U129" s="68" t="b">
        <v>0</v>
      </c>
      <c r="V129" s="68" t="b">
        <v>0</v>
      </c>
      <c r="W129" s="68" t="b">
        <v>0</v>
      </c>
      <c r="X129" s="68" t="b">
        <v>0</v>
      </c>
      <c r="Y129" s="68" t="b">
        <v>0</v>
      </c>
      <c r="Z129" s="68" t="b">
        <v>1</v>
      </c>
      <c r="AA129" s="68" t="b">
        <v>1</v>
      </c>
      <c r="AB129" s="68" t="b">
        <v>1</v>
      </c>
      <c r="AC129" s="68" t="b">
        <v>1</v>
      </c>
      <c r="AD129" s="68" t="b">
        <v>1</v>
      </c>
      <c r="AE129" s="68" t="b">
        <v>0</v>
      </c>
      <c r="AF129" s="68" t="b">
        <v>1</v>
      </c>
      <c r="AG129" s="68" t="b">
        <v>1</v>
      </c>
      <c r="AH129" s="68" t="b">
        <v>1</v>
      </c>
      <c r="AI129" s="68" t="b">
        <v>0</v>
      </c>
      <c r="AJ129" s="68" t="b">
        <v>1</v>
      </c>
      <c r="AK129" s="68" t="b">
        <v>1</v>
      </c>
      <c r="AL129" s="68" t="b">
        <v>1</v>
      </c>
      <c r="AM129" s="68" t="b">
        <v>1</v>
      </c>
      <c r="AN129" s="68" t="b">
        <v>1</v>
      </c>
      <c r="AO129" s="68" t="b">
        <v>1</v>
      </c>
      <c r="AP129" s="65"/>
      <c r="AQ129" s="69">
        <f t="shared" si="4"/>
        <v>8</v>
      </c>
    </row>
    <row r="130">
      <c r="A130" s="65" t="s">
        <v>568</v>
      </c>
      <c r="B130" s="65"/>
      <c r="C130" s="66" t="s">
        <v>569</v>
      </c>
      <c r="D130" s="65" t="s">
        <v>83</v>
      </c>
      <c r="E130" s="67">
        <f t="shared" si="1"/>
        <v>33</v>
      </c>
      <c r="F130" s="67">
        <f t="shared" si="2"/>
        <v>4</v>
      </c>
      <c r="G130" s="55">
        <f t="shared" si="3"/>
        <v>12.12121212</v>
      </c>
      <c r="H130" s="65"/>
      <c r="I130" s="68" t="b">
        <v>0</v>
      </c>
      <c r="J130" s="68" t="b">
        <v>0</v>
      </c>
      <c r="K130" s="68" t="b">
        <v>0</v>
      </c>
      <c r="L130" s="68" t="b">
        <v>0</v>
      </c>
      <c r="M130" s="68" t="b">
        <v>0</v>
      </c>
      <c r="N130" s="68" t="b">
        <v>0</v>
      </c>
      <c r="O130" s="68" t="b">
        <v>0</v>
      </c>
      <c r="P130" s="68" t="b">
        <v>0</v>
      </c>
      <c r="Q130" s="68" t="b">
        <v>0</v>
      </c>
      <c r="R130" s="68" t="b">
        <v>0</v>
      </c>
      <c r="S130" s="68" t="b">
        <v>0</v>
      </c>
      <c r="T130" s="68" t="b">
        <v>0</v>
      </c>
      <c r="U130" s="68" t="b">
        <v>0</v>
      </c>
      <c r="V130" s="68" t="b">
        <v>0</v>
      </c>
      <c r="W130" s="68" t="b">
        <v>0</v>
      </c>
      <c r="X130" s="68" t="b">
        <v>0</v>
      </c>
      <c r="Y130" s="68" t="b">
        <v>0</v>
      </c>
      <c r="Z130" s="68" t="b">
        <v>0</v>
      </c>
      <c r="AA130" s="68" t="b">
        <v>0</v>
      </c>
      <c r="AB130" s="68" t="b">
        <v>0</v>
      </c>
      <c r="AC130" s="68" t="b">
        <v>1</v>
      </c>
      <c r="AD130" s="68" t="b">
        <v>1</v>
      </c>
      <c r="AE130" s="68" t="b">
        <v>0</v>
      </c>
      <c r="AF130" s="68" t="b">
        <v>0</v>
      </c>
      <c r="AG130" s="68" t="b">
        <v>1</v>
      </c>
      <c r="AH130" s="68" t="b">
        <v>1</v>
      </c>
      <c r="AI130" s="68" t="b">
        <v>0</v>
      </c>
      <c r="AJ130" s="68" t="b">
        <v>0</v>
      </c>
      <c r="AK130" s="68" t="b">
        <v>0</v>
      </c>
      <c r="AL130" s="68" t="b">
        <v>0</v>
      </c>
      <c r="AM130" s="68" t="b">
        <v>0</v>
      </c>
      <c r="AN130" s="68" t="b">
        <v>0</v>
      </c>
      <c r="AO130" s="68" t="b">
        <v>0</v>
      </c>
      <c r="AP130" s="65"/>
      <c r="AQ130" s="69">
        <f t="shared" si="4"/>
        <v>2</v>
      </c>
    </row>
    <row r="131">
      <c r="A131" s="70" t="s">
        <v>570</v>
      </c>
      <c r="B131" s="70"/>
      <c r="C131" s="71">
        <v>9.027548916E9</v>
      </c>
      <c r="D131" s="70" t="s">
        <v>571</v>
      </c>
      <c r="E131" s="71">
        <f t="shared" si="1"/>
        <v>33</v>
      </c>
      <c r="F131" s="71">
        <f t="shared" si="2"/>
        <v>28</v>
      </c>
      <c r="G131" s="52">
        <f t="shared" si="3"/>
        <v>84.84848485</v>
      </c>
      <c r="H131" s="70"/>
      <c r="I131" s="72" t="b">
        <v>1</v>
      </c>
      <c r="J131" s="72" t="b">
        <v>1</v>
      </c>
      <c r="K131" s="72" t="b">
        <v>1</v>
      </c>
      <c r="L131" s="72" t="b">
        <v>1</v>
      </c>
      <c r="M131" s="72" t="b">
        <v>1</v>
      </c>
      <c r="N131" s="72" t="b">
        <v>1</v>
      </c>
      <c r="O131" s="72" t="b">
        <v>0</v>
      </c>
      <c r="P131" s="72" t="b">
        <v>1</v>
      </c>
      <c r="Q131" s="72" t="b">
        <v>1</v>
      </c>
      <c r="R131" s="72" t="b">
        <v>1</v>
      </c>
      <c r="S131" s="72" t="b">
        <v>1</v>
      </c>
      <c r="T131" s="72" t="b">
        <v>1</v>
      </c>
      <c r="U131" s="72" t="b">
        <v>1</v>
      </c>
      <c r="V131" s="72" t="b">
        <v>1</v>
      </c>
      <c r="W131" s="72" t="b">
        <v>1</v>
      </c>
      <c r="X131" s="72" t="b">
        <v>1</v>
      </c>
      <c r="Y131" s="72" t="b">
        <v>1</v>
      </c>
      <c r="Z131" s="72" t="b">
        <v>1</v>
      </c>
      <c r="AA131" s="72" t="b">
        <v>1</v>
      </c>
      <c r="AB131" s="72" t="b">
        <v>1</v>
      </c>
      <c r="AC131" s="72" t="b">
        <v>1</v>
      </c>
      <c r="AD131" s="72" t="b">
        <v>1</v>
      </c>
      <c r="AE131" s="72" t="b">
        <v>1</v>
      </c>
      <c r="AF131" s="72" t="b">
        <v>1</v>
      </c>
      <c r="AG131" s="72" t="b">
        <v>1</v>
      </c>
      <c r="AH131" s="72" t="b">
        <v>1</v>
      </c>
      <c r="AI131" s="72" t="b">
        <v>1</v>
      </c>
      <c r="AJ131" s="72" t="b">
        <v>1</v>
      </c>
      <c r="AK131" s="72" t="b">
        <v>1</v>
      </c>
      <c r="AL131" s="72" t="b">
        <v>0</v>
      </c>
      <c r="AM131" s="72" t="b">
        <v>0</v>
      </c>
      <c r="AN131" s="72" t="b">
        <v>0</v>
      </c>
      <c r="AO131" s="72" t="b">
        <v>0</v>
      </c>
      <c r="AP131" s="70"/>
      <c r="AQ131" s="49"/>
    </row>
    <row r="132">
      <c r="A132" s="70" t="s">
        <v>572</v>
      </c>
      <c r="B132" s="70"/>
      <c r="C132" s="71" t="s">
        <v>573</v>
      </c>
      <c r="D132" s="70" t="s">
        <v>571</v>
      </c>
      <c r="E132" s="71">
        <f t="shared" si="1"/>
        <v>33</v>
      </c>
      <c r="F132" s="71">
        <f t="shared" si="2"/>
        <v>29</v>
      </c>
      <c r="G132" s="52">
        <f t="shared" si="3"/>
        <v>87.87878788</v>
      </c>
      <c r="H132" s="70"/>
      <c r="I132" s="72" t="b">
        <v>1</v>
      </c>
      <c r="J132" s="72" t="b">
        <v>1</v>
      </c>
      <c r="K132" s="72" t="b">
        <v>0</v>
      </c>
      <c r="L132" s="72" t="b">
        <v>0</v>
      </c>
      <c r="M132" s="72" t="b">
        <v>1</v>
      </c>
      <c r="N132" s="72" t="b">
        <v>1</v>
      </c>
      <c r="O132" s="72" t="b">
        <v>0</v>
      </c>
      <c r="P132" s="72" t="b">
        <v>1</v>
      </c>
      <c r="Q132" s="72" t="b">
        <v>1</v>
      </c>
      <c r="R132" s="72" t="b">
        <v>1</v>
      </c>
      <c r="S132" s="72" t="b">
        <v>1</v>
      </c>
      <c r="T132" s="72" t="b">
        <v>1</v>
      </c>
      <c r="U132" s="72" t="b">
        <v>1</v>
      </c>
      <c r="V132" s="72" t="b">
        <v>1</v>
      </c>
      <c r="W132" s="72" t="b">
        <v>1</v>
      </c>
      <c r="X132" s="72" t="b">
        <v>1</v>
      </c>
      <c r="Y132" s="72" t="b">
        <v>1</v>
      </c>
      <c r="Z132" s="72" t="b">
        <v>1</v>
      </c>
      <c r="AA132" s="72" t="b">
        <v>1</v>
      </c>
      <c r="AB132" s="72" t="b">
        <v>1</v>
      </c>
      <c r="AC132" s="72" t="b">
        <v>1</v>
      </c>
      <c r="AD132" s="72" t="b">
        <v>1</v>
      </c>
      <c r="AE132" s="72" t="b">
        <v>1</v>
      </c>
      <c r="AF132" s="72" t="b">
        <v>1</v>
      </c>
      <c r="AG132" s="72" t="b">
        <v>1</v>
      </c>
      <c r="AH132" s="72" t="b">
        <v>1</v>
      </c>
      <c r="AI132" s="72" t="b">
        <v>1</v>
      </c>
      <c r="AJ132" s="72" t="b">
        <v>1</v>
      </c>
      <c r="AK132" s="72" t="b">
        <v>1</v>
      </c>
      <c r="AL132" s="72" t="b">
        <v>1</v>
      </c>
      <c r="AM132" s="72" t="b">
        <v>1</v>
      </c>
      <c r="AN132" s="72" t="b">
        <v>1</v>
      </c>
      <c r="AO132" s="72" t="b">
        <v>0</v>
      </c>
      <c r="AP132" s="70"/>
      <c r="AQ132" s="54">
        <f t="shared" ref="AQ132:AQ164" si="5">COUNTIF(AG132:AO132,TRUE)</f>
        <v>8</v>
      </c>
    </row>
    <row r="133">
      <c r="A133" s="70" t="s">
        <v>574</v>
      </c>
      <c r="B133" s="70"/>
      <c r="C133" s="71">
        <v>7.531878414E9</v>
      </c>
      <c r="D133" s="70" t="s">
        <v>571</v>
      </c>
      <c r="E133" s="71">
        <f t="shared" si="1"/>
        <v>33</v>
      </c>
      <c r="F133" s="71">
        <f t="shared" si="2"/>
        <v>26</v>
      </c>
      <c r="G133" s="52">
        <f t="shared" si="3"/>
        <v>78.78787879</v>
      </c>
      <c r="H133" s="70"/>
      <c r="I133" s="72" t="b">
        <v>0</v>
      </c>
      <c r="J133" s="72" t="b">
        <v>1</v>
      </c>
      <c r="K133" s="72" t="b">
        <v>1</v>
      </c>
      <c r="L133" s="72" t="b">
        <v>1</v>
      </c>
      <c r="M133" s="72" t="b">
        <v>1</v>
      </c>
      <c r="N133" s="72" t="b">
        <v>1</v>
      </c>
      <c r="O133" s="72" t="b">
        <v>1</v>
      </c>
      <c r="P133" s="72" t="b">
        <v>1</v>
      </c>
      <c r="Q133" s="72" t="b">
        <v>0</v>
      </c>
      <c r="R133" s="72" t="b">
        <v>1</v>
      </c>
      <c r="S133" s="72" t="b">
        <v>0</v>
      </c>
      <c r="T133" s="72" t="b">
        <v>0</v>
      </c>
      <c r="U133" s="72" t="b">
        <v>1</v>
      </c>
      <c r="V133" s="72" t="b">
        <v>1</v>
      </c>
      <c r="W133" s="72" t="b">
        <v>1</v>
      </c>
      <c r="X133" s="72" t="b">
        <v>1</v>
      </c>
      <c r="Y133" s="72" t="b">
        <v>1</v>
      </c>
      <c r="Z133" s="72" t="b">
        <v>0</v>
      </c>
      <c r="AA133" s="72" t="b">
        <v>1</v>
      </c>
      <c r="AB133" s="72" t="b">
        <v>1</v>
      </c>
      <c r="AC133" s="72" t="b">
        <v>1</v>
      </c>
      <c r="AD133" s="72" t="b">
        <v>1</v>
      </c>
      <c r="AE133" s="72" t="b">
        <v>1</v>
      </c>
      <c r="AF133" s="72" t="b">
        <v>1</v>
      </c>
      <c r="AG133" s="72" t="b">
        <v>1</v>
      </c>
      <c r="AH133" s="72" t="b">
        <v>1</v>
      </c>
      <c r="AI133" s="72" t="b">
        <v>1</v>
      </c>
      <c r="AJ133" s="72" t="b">
        <v>0</v>
      </c>
      <c r="AK133" s="72" t="b">
        <v>0</v>
      </c>
      <c r="AL133" s="72" t="b">
        <v>1</v>
      </c>
      <c r="AM133" s="72" t="b">
        <v>1</v>
      </c>
      <c r="AN133" s="72" t="b">
        <v>1</v>
      </c>
      <c r="AO133" s="72" t="b">
        <v>1</v>
      </c>
      <c r="AP133" s="70"/>
      <c r="AQ133" s="54">
        <f t="shared" si="5"/>
        <v>7</v>
      </c>
    </row>
    <row r="134">
      <c r="A134" s="70" t="s">
        <v>575</v>
      </c>
      <c r="B134" s="70" t="s">
        <v>576</v>
      </c>
      <c r="C134" s="71">
        <v>7.668565487E9</v>
      </c>
      <c r="D134" s="70" t="s">
        <v>571</v>
      </c>
      <c r="E134" s="71">
        <f t="shared" si="1"/>
        <v>33</v>
      </c>
      <c r="F134" s="71">
        <f t="shared" si="2"/>
        <v>11</v>
      </c>
      <c r="G134" s="55">
        <f t="shared" si="3"/>
        <v>33.33333333</v>
      </c>
      <c r="H134" s="70"/>
      <c r="I134" s="72" t="b">
        <v>0</v>
      </c>
      <c r="J134" s="72" t="b">
        <v>0</v>
      </c>
      <c r="K134" s="72" t="b">
        <v>0</v>
      </c>
      <c r="L134" s="72" t="b">
        <v>0</v>
      </c>
      <c r="M134" s="72" t="b">
        <v>0</v>
      </c>
      <c r="N134" s="72" t="b">
        <v>0</v>
      </c>
      <c r="O134" s="72" t="b">
        <v>0</v>
      </c>
      <c r="P134" s="72" t="b">
        <v>0</v>
      </c>
      <c r="Q134" s="72" t="b">
        <v>0</v>
      </c>
      <c r="R134" s="72" t="b">
        <v>0</v>
      </c>
      <c r="S134" s="72" t="b">
        <v>0</v>
      </c>
      <c r="T134" s="72" t="b">
        <v>0</v>
      </c>
      <c r="U134" s="72" t="b">
        <v>1</v>
      </c>
      <c r="V134" s="72" t="b">
        <v>1</v>
      </c>
      <c r="W134" s="72" t="b">
        <v>0</v>
      </c>
      <c r="X134" s="72" t="b">
        <v>0</v>
      </c>
      <c r="Y134" s="72" t="b">
        <v>0</v>
      </c>
      <c r="Z134" s="72" t="b">
        <v>0</v>
      </c>
      <c r="AA134" s="72" t="b">
        <v>0</v>
      </c>
      <c r="AB134" s="72" t="b">
        <v>0</v>
      </c>
      <c r="AC134" s="72" t="b">
        <v>1</v>
      </c>
      <c r="AD134" s="72" t="b">
        <v>1</v>
      </c>
      <c r="AE134" s="72" t="b">
        <v>1</v>
      </c>
      <c r="AF134" s="72" t="b">
        <v>1</v>
      </c>
      <c r="AG134" s="72" t="b">
        <v>0</v>
      </c>
      <c r="AH134" s="72" t="b">
        <v>1</v>
      </c>
      <c r="AI134" s="72" t="b">
        <v>1</v>
      </c>
      <c r="AJ134" s="72" t="b">
        <v>1</v>
      </c>
      <c r="AK134" s="72" t="b">
        <v>1</v>
      </c>
      <c r="AL134" s="72" t="b">
        <v>1</v>
      </c>
      <c r="AM134" s="72" t="b">
        <v>0</v>
      </c>
      <c r="AN134" s="72" t="b">
        <v>0</v>
      </c>
      <c r="AO134" s="72" t="b">
        <v>0</v>
      </c>
      <c r="AP134" s="70"/>
      <c r="AQ134" s="54">
        <f t="shared" si="5"/>
        <v>5</v>
      </c>
    </row>
    <row r="135">
      <c r="A135" s="70" t="s">
        <v>577</v>
      </c>
      <c r="B135" s="70"/>
      <c r="C135" s="71">
        <v>9.289492701E9</v>
      </c>
      <c r="D135" s="70" t="s">
        <v>571</v>
      </c>
      <c r="E135" s="71">
        <f t="shared" si="1"/>
        <v>33</v>
      </c>
      <c r="F135" s="71">
        <f t="shared" si="2"/>
        <v>30</v>
      </c>
      <c r="G135" s="52">
        <f t="shared" si="3"/>
        <v>90.90909091</v>
      </c>
      <c r="H135" s="70"/>
      <c r="I135" s="72" t="b">
        <v>1</v>
      </c>
      <c r="J135" s="72" t="b">
        <v>1</v>
      </c>
      <c r="K135" s="72" t="b">
        <v>1</v>
      </c>
      <c r="L135" s="72" t="b">
        <v>1</v>
      </c>
      <c r="M135" s="72" t="b">
        <v>1</v>
      </c>
      <c r="N135" s="72" t="b">
        <v>0</v>
      </c>
      <c r="O135" s="72" t="b">
        <v>1</v>
      </c>
      <c r="P135" s="72" t="b">
        <v>1</v>
      </c>
      <c r="Q135" s="72" t="b">
        <v>1</v>
      </c>
      <c r="R135" s="72" t="b">
        <v>1</v>
      </c>
      <c r="S135" s="72" t="b">
        <v>1</v>
      </c>
      <c r="T135" s="72" t="b">
        <v>1</v>
      </c>
      <c r="U135" s="72" t="b">
        <v>1</v>
      </c>
      <c r="V135" s="72" t="b">
        <v>1</v>
      </c>
      <c r="W135" s="72" t="b">
        <v>1</v>
      </c>
      <c r="X135" s="72" t="b">
        <v>1</v>
      </c>
      <c r="Y135" s="72" t="b">
        <v>1</v>
      </c>
      <c r="Z135" s="72" t="b">
        <v>1</v>
      </c>
      <c r="AA135" s="72" t="b">
        <v>1</v>
      </c>
      <c r="AB135" s="72" t="b">
        <v>1</v>
      </c>
      <c r="AC135" s="72" t="b">
        <v>1</v>
      </c>
      <c r="AD135" s="72" t="b">
        <v>1</v>
      </c>
      <c r="AE135" s="72" t="b">
        <v>1</v>
      </c>
      <c r="AF135" s="72" t="b">
        <v>1</v>
      </c>
      <c r="AG135" s="72" t="b">
        <v>1</v>
      </c>
      <c r="AH135" s="72" t="b">
        <v>1</v>
      </c>
      <c r="AI135" s="72" t="b">
        <v>1</v>
      </c>
      <c r="AJ135" s="72" t="b">
        <v>1</v>
      </c>
      <c r="AK135" s="72" t="b">
        <v>1</v>
      </c>
      <c r="AL135" s="72" t="b">
        <v>1</v>
      </c>
      <c r="AM135" s="72" t="b">
        <v>1</v>
      </c>
      <c r="AN135" s="72" t="b">
        <v>0</v>
      </c>
      <c r="AO135" s="72" t="b">
        <v>0</v>
      </c>
      <c r="AP135" s="70"/>
      <c r="AQ135" s="54">
        <f t="shared" si="5"/>
        <v>7</v>
      </c>
    </row>
    <row r="136">
      <c r="A136" s="70" t="s">
        <v>578</v>
      </c>
      <c r="B136" s="70"/>
      <c r="C136" s="71">
        <v>8.383893267E9</v>
      </c>
      <c r="D136" s="70" t="s">
        <v>571</v>
      </c>
      <c r="E136" s="71">
        <f t="shared" si="1"/>
        <v>33</v>
      </c>
      <c r="F136" s="71">
        <f t="shared" si="2"/>
        <v>29</v>
      </c>
      <c r="G136" s="52">
        <f t="shared" si="3"/>
        <v>87.87878788</v>
      </c>
      <c r="H136" s="70"/>
      <c r="I136" s="72" t="b">
        <v>1</v>
      </c>
      <c r="J136" s="72" t="b">
        <v>1</v>
      </c>
      <c r="K136" s="72" t="b">
        <v>1</v>
      </c>
      <c r="L136" s="72" t="b">
        <v>1</v>
      </c>
      <c r="M136" s="72" t="b">
        <v>1</v>
      </c>
      <c r="N136" s="72" t="b">
        <v>1</v>
      </c>
      <c r="O136" s="72" t="b">
        <v>0</v>
      </c>
      <c r="P136" s="72" t="b">
        <v>1</v>
      </c>
      <c r="Q136" s="72" t="b">
        <v>1</v>
      </c>
      <c r="R136" s="72" t="b">
        <v>1</v>
      </c>
      <c r="S136" s="72" t="b">
        <v>1</v>
      </c>
      <c r="T136" s="72" t="b">
        <v>1</v>
      </c>
      <c r="U136" s="72" t="b">
        <v>1</v>
      </c>
      <c r="V136" s="72" t="b">
        <v>1</v>
      </c>
      <c r="W136" s="72" t="b">
        <v>0</v>
      </c>
      <c r="X136" s="72" t="b">
        <v>1</v>
      </c>
      <c r="Y136" s="72" t="b">
        <v>1</v>
      </c>
      <c r="Z136" s="72" t="b">
        <v>0</v>
      </c>
      <c r="AA136" s="72" t="b">
        <v>1</v>
      </c>
      <c r="AB136" s="72" t="b">
        <v>1</v>
      </c>
      <c r="AC136" s="72" t="b">
        <v>1</v>
      </c>
      <c r="AD136" s="72" t="b">
        <v>1</v>
      </c>
      <c r="AE136" s="72" t="b">
        <v>1</v>
      </c>
      <c r="AF136" s="72" t="b">
        <v>1</v>
      </c>
      <c r="AG136" s="72" t="b">
        <v>1</v>
      </c>
      <c r="AH136" s="72" t="b">
        <v>1</v>
      </c>
      <c r="AI136" s="72" t="b">
        <v>1</v>
      </c>
      <c r="AJ136" s="72" t="b">
        <v>1</v>
      </c>
      <c r="AK136" s="72" t="b">
        <v>1</v>
      </c>
      <c r="AL136" s="72" t="b">
        <v>0</v>
      </c>
      <c r="AM136" s="72" t="b">
        <v>1</v>
      </c>
      <c r="AN136" s="72" t="b">
        <v>1</v>
      </c>
      <c r="AO136" s="72" t="b">
        <v>1</v>
      </c>
      <c r="AP136" s="70"/>
      <c r="AQ136" s="54">
        <f t="shared" si="5"/>
        <v>8</v>
      </c>
    </row>
    <row r="137">
      <c r="A137" s="70" t="s">
        <v>579</v>
      </c>
      <c r="B137" s="70"/>
      <c r="C137" s="71">
        <v>9.14050087E9</v>
      </c>
      <c r="D137" s="70" t="s">
        <v>571</v>
      </c>
      <c r="E137" s="71">
        <f t="shared" si="1"/>
        <v>33</v>
      </c>
      <c r="F137" s="71">
        <f t="shared" si="2"/>
        <v>10</v>
      </c>
      <c r="G137" s="55">
        <f t="shared" si="3"/>
        <v>30.3030303</v>
      </c>
      <c r="H137" s="70"/>
      <c r="I137" s="72" t="b">
        <v>0</v>
      </c>
      <c r="J137" s="72" t="b">
        <v>0</v>
      </c>
      <c r="K137" s="72" t="b">
        <v>0</v>
      </c>
      <c r="L137" s="72" t="b">
        <v>0</v>
      </c>
      <c r="M137" s="72" t="b">
        <v>0</v>
      </c>
      <c r="N137" s="72" t="b">
        <v>0</v>
      </c>
      <c r="O137" s="72" t="b">
        <v>0</v>
      </c>
      <c r="P137" s="72" t="b">
        <v>0</v>
      </c>
      <c r="Q137" s="72" t="b">
        <v>0</v>
      </c>
      <c r="R137" s="72" t="b">
        <v>0</v>
      </c>
      <c r="S137" s="72" t="b">
        <v>0</v>
      </c>
      <c r="T137" s="72" t="b">
        <v>0</v>
      </c>
      <c r="U137" s="72" t="b">
        <v>0</v>
      </c>
      <c r="V137" s="72" t="b">
        <v>1</v>
      </c>
      <c r="W137" s="72" t="b">
        <v>0</v>
      </c>
      <c r="X137" s="72" t="b">
        <v>0</v>
      </c>
      <c r="Y137" s="72" t="b">
        <v>0</v>
      </c>
      <c r="Z137" s="72" t="b">
        <v>0</v>
      </c>
      <c r="AA137" s="72" t="b">
        <v>0</v>
      </c>
      <c r="AB137" s="72" t="b">
        <v>1</v>
      </c>
      <c r="AC137" s="72" t="b">
        <v>1</v>
      </c>
      <c r="AD137" s="72" t="b">
        <v>1</v>
      </c>
      <c r="AE137" s="72" t="b">
        <v>1</v>
      </c>
      <c r="AF137" s="72" t="b">
        <v>1</v>
      </c>
      <c r="AG137" s="72" t="b">
        <v>1</v>
      </c>
      <c r="AH137" s="72" t="b">
        <v>0</v>
      </c>
      <c r="AI137" s="72" t="b">
        <v>1</v>
      </c>
      <c r="AJ137" s="72" t="b">
        <v>1</v>
      </c>
      <c r="AK137" s="72" t="b">
        <v>0</v>
      </c>
      <c r="AL137" s="72" t="b">
        <v>0</v>
      </c>
      <c r="AM137" s="72" t="b">
        <v>1</v>
      </c>
      <c r="AN137" s="72" t="b">
        <v>0</v>
      </c>
      <c r="AO137" s="72" t="b">
        <v>0</v>
      </c>
      <c r="AP137" s="70"/>
      <c r="AQ137" s="54">
        <f t="shared" si="5"/>
        <v>4</v>
      </c>
    </row>
    <row r="138">
      <c r="A138" s="70" t="s">
        <v>580</v>
      </c>
      <c r="B138" s="70"/>
      <c r="C138" s="71" t="s">
        <v>581</v>
      </c>
      <c r="D138" s="70" t="s">
        <v>571</v>
      </c>
      <c r="E138" s="71">
        <f t="shared" si="1"/>
        <v>33</v>
      </c>
      <c r="F138" s="71">
        <f t="shared" si="2"/>
        <v>21</v>
      </c>
      <c r="G138" s="55">
        <f t="shared" si="3"/>
        <v>63.63636364</v>
      </c>
      <c r="H138" s="70"/>
      <c r="I138" s="72" t="b">
        <v>0</v>
      </c>
      <c r="J138" s="72" t="b">
        <v>1</v>
      </c>
      <c r="K138" s="72" t="b">
        <v>0</v>
      </c>
      <c r="L138" s="72" t="b">
        <v>1</v>
      </c>
      <c r="M138" s="72" t="b">
        <v>0</v>
      </c>
      <c r="N138" s="72" t="b">
        <v>1</v>
      </c>
      <c r="O138" s="72" t="b">
        <v>1</v>
      </c>
      <c r="P138" s="72" t="b">
        <v>1</v>
      </c>
      <c r="Q138" s="72" t="b">
        <v>1</v>
      </c>
      <c r="R138" s="72" t="b">
        <v>1</v>
      </c>
      <c r="S138" s="72" t="b">
        <v>1</v>
      </c>
      <c r="T138" s="72" t="b">
        <v>1</v>
      </c>
      <c r="U138" s="72" t="b">
        <v>0</v>
      </c>
      <c r="V138" s="72" t="b">
        <v>0</v>
      </c>
      <c r="W138" s="72" t="b">
        <v>0</v>
      </c>
      <c r="X138" s="72" t="b">
        <v>0</v>
      </c>
      <c r="Y138" s="72" t="b">
        <v>0</v>
      </c>
      <c r="Z138" s="72" t="b">
        <v>0</v>
      </c>
      <c r="AA138" s="72" t="b">
        <v>0</v>
      </c>
      <c r="AB138" s="72" t="b">
        <v>0</v>
      </c>
      <c r="AC138" s="72" t="b">
        <v>1</v>
      </c>
      <c r="AD138" s="72" t="b">
        <v>1</v>
      </c>
      <c r="AE138" s="72" t="b">
        <v>1</v>
      </c>
      <c r="AF138" s="72" t="b">
        <v>1</v>
      </c>
      <c r="AG138" s="72" t="b">
        <v>1</v>
      </c>
      <c r="AH138" s="72" t="b">
        <v>1</v>
      </c>
      <c r="AI138" s="72" t="b">
        <v>1</v>
      </c>
      <c r="AJ138" s="72" t="b">
        <v>1</v>
      </c>
      <c r="AK138" s="72" t="b">
        <v>0</v>
      </c>
      <c r="AL138" s="72" t="b">
        <v>1</v>
      </c>
      <c r="AM138" s="72" t="b">
        <v>1</v>
      </c>
      <c r="AN138" s="72" t="b">
        <v>1</v>
      </c>
      <c r="AO138" s="72" t="b">
        <v>1</v>
      </c>
      <c r="AP138" s="70"/>
      <c r="AQ138" s="54">
        <f t="shared" si="5"/>
        <v>8</v>
      </c>
    </row>
    <row r="139">
      <c r="A139" s="70" t="s">
        <v>582</v>
      </c>
      <c r="B139" s="70"/>
      <c r="C139" s="71">
        <v>7.292849995E9</v>
      </c>
      <c r="D139" s="70" t="s">
        <v>571</v>
      </c>
      <c r="E139" s="71">
        <f t="shared" si="1"/>
        <v>33</v>
      </c>
      <c r="F139" s="71">
        <f t="shared" si="2"/>
        <v>8</v>
      </c>
      <c r="G139" s="55">
        <f t="shared" si="3"/>
        <v>24.24242424</v>
      </c>
      <c r="H139" s="70"/>
      <c r="I139" s="72" t="b">
        <v>0</v>
      </c>
      <c r="J139" s="72" t="b">
        <v>0</v>
      </c>
      <c r="K139" s="72" t="b">
        <v>0</v>
      </c>
      <c r="L139" s="72" t="b">
        <v>0</v>
      </c>
      <c r="M139" s="72" t="b">
        <v>0</v>
      </c>
      <c r="N139" s="72" t="b">
        <v>0</v>
      </c>
      <c r="O139" s="72" t="b">
        <v>0</v>
      </c>
      <c r="P139" s="72" t="b">
        <v>0</v>
      </c>
      <c r="Q139" s="72" t="b">
        <v>0</v>
      </c>
      <c r="R139" s="72" t="b">
        <v>0</v>
      </c>
      <c r="S139" s="72" t="b">
        <v>0</v>
      </c>
      <c r="T139" s="72" t="b">
        <v>0</v>
      </c>
      <c r="U139" s="72" t="b">
        <v>0</v>
      </c>
      <c r="V139" s="72" t="b">
        <v>0</v>
      </c>
      <c r="W139" s="72" t="b">
        <v>0</v>
      </c>
      <c r="X139" s="72" t="b">
        <v>0</v>
      </c>
      <c r="Y139" s="72" t="b">
        <v>0</v>
      </c>
      <c r="Z139" s="72" t="b">
        <v>0</v>
      </c>
      <c r="AA139" s="72" t="b">
        <v>0</v>
      </c>
      <c r="AB139" s="72" t="b">
        <v>0</v>
      </c>
      <c r="AC139" s="72" t="b">
        <v>1</v>
      </c>
      <c r="AD139" s="72" t="b">
        <v>1</v>
      </c>
      <c r="AE139" s="72" t="b">
        <v>0</v>
      </c>
      <c r="AF139" s="72" t="b">
        <v>1</v>
      </c>
      <c r="AG139" s="72" t="b">
        <v>0</v>
      </c>
      <c r="AH139" s="72" t="b">
        <v>0</v>
      </c>
      <c r="AI139" s="72" t="b">
        <v>0</v>
      </c>
      <c r="AJ139" s="72" t="b">
        <v>1</v>
      </c>
      <c r="AK139" s="72" t="b">
        <v>0</v>
      </c>
      <c r="AL139" s="72" t="b">
        <v>1</v>
      </c>
      <c r="AM139" s="72" t="b">
        <v>1</v>
      </c>
      <c r="AN139" s="72" t="b">
        <v>1</v>
      </c>
      <c r="AO139" s="72" t="b">
        <v>1</v>
      </c>
      <c r="AP139" s="70"/>
      <c r="AQ139" s="54">
        <f t="shared" si="5"/>
        <v>5</v>
      </c>
    </row>
    <row r="140">
      <c r="A140" s="70" t="s">
        <v>583</v>
      </c>
      <c r="B140" s="70"/>
      <c r="C140" s="70"/>
      <c r="D140" s="70" t="s">
        <v>571</v>
      </c>
      <c r="E140" s="71">
        <f t="shared" si="1"/>
        <v>33</v>
      </c>
      <c r="F140" s="71">
        <f t="shared" si="2"/>
        <v>27</v>
      </c>
      <c r="G140" s="52">
        <f t="shared" si="3"/>
        <v>81.81818182</v>
      </c>
      <c r="H140" s="70"/>
      <c r="I140" s="72" t="b">
        <v>1</v>
      </c>
      <c r="J140" s="72" t="b">
        <v>1</v>
      </c>
      <c r="K140" s="72" t="b">
        <v>1</v>
      </c>
      <c r="L140" s="72" t="b">
        <v>1</v>
      </c>
      <c r="M140" s="72" t="b">
        <v>1</v>
      </c>
      <c r="N140" s="72" t="b">
        <v>1</v>
      </c>
      <c r="O140" s="72" t="b">
        <v>0</v>
      </c>
      <c r="P140" s="72" t="b">
        <v>0</v>
      </c>
      <c r="Q140" s="72" t="b">
        <v>1</v>
      </c>
      <c r="R140" s="72" t="b">
        <v>1</v>
      </c>
      <c r="S140" s="72" t="b">
        <v>1</v>
      </c>
      <c r="T140" s="72" t="b">
        <v>1</v>
      </c>
      <c r="U140" s="72" t="b">
        <v>1</v>
      </c>
      <c r="V140" s="72" t="b">
        <v>1</v>
      </c>
      <c r="W140" s="72" t="b">
        <v>1</v>
      </c>
      <c r="X140" s="72" t="b">
        <v>1</v>
      </c>
      <c r="Y140" s="72" t="b">
        <v>1</v>
      </c>
      <c r="Z140" s="72" t="b">
        <v>1</v>
      </c>
      <c r="AA140" s="72" t="b">
        <v>1</v>
      </c>
      <c r="AB140" s="72" t="b">
        <v>0</v>
      </c>
      <c r="AC140" s="72" t="b">
        <v>1</v>
      </c>
      <c r="AD140" s="72" t="b">
        <v>1</v>
      </c>
      <c r="AE140" s="72" t="b">
        <v>1</v>
      </c>
      <c r="AF140" s="72" t="b">
        <v>0</v>
      </c>
      <c r="AG140" s="72" t="b">
        <v>1</v>
      </c>
      <c r="AH140" s="72" t="b">
        <v>1</v>
      </c>
      <c r="AI140" s="72" t="b">
        <v>1</v>
      </c>
      <c r="AJ140" s="72" t="b">
        <v>1</v>
      </c>
      <c r="AK140" s="72" t="b">
        <v>1</v>
      </c>
      <c r="AL140" s="72" t="b">
        <v>1</v>
      </c>
      <c r="AM140" s="72" t="b">
        <v>1</v>
      </c>
      <c r="AN140" s="72" t="b">
        <v>0</v>
      </c>
      <c r="AO140" s="72" t="b">
        <v>0</v>
      </c>
      <c r="AP140" s="70"/>
      <c r="AQ140" s="54">
        <f t="shared" si="5"/>
        <v>7</v>
      </c>
    </row>
    <row r="141">
      <c r="A141" s="70" t="s">
        <v>584</v>
      </c>
      <c r="B141" s="70"/>
      <c r="C141" s="71" t="s">
        <v>585</v>
      </c>
      <c r="D141" s="70" t="s">
        <v>571</v>
      </c>
      <c r="E141" s="71">
        <f t="shared" si="1"/>
        <v>33</v>
      </c>
      <c r="F141" s="71">
        <f t="shared" si="2"/>
        <v>21</v>
      </c>
      <c r="G141" s="55">
        <f t="shared" si="3"/>
        <v>63.63636364</v>
      </c>
      <c r="H141" s="70"/>
      <c r="I141" s="72" t="b">
        <v>1</v>
      </c>
      <c r="J141" s="72" t="b">
        <v>1</v>
      </c>
      <c r="K141" s="72" t="b">
        <v>1</v>
      </c>
      <c r="L141" s="72" t="b">
        <v>1</v>
      </c>
      <c r="M141" s="72" t="b">
        <v>1</v>
      </c>
      <c r="N141" s="72" t="b">
        <v>1</v>
      </c>
      <c r="O141" s="72" t="b">
        <v>1</v>
      </c>
      <c r="P141" s="72" t="b">
        <v>1</v>
      </c>
      <c r="Q141" s="72" t="b">
        <v>1</v>
      </c>
      <c r="R141" s="72" t="b">
        <v>1</v>
      </c>
      <c r="S141" s="72" t="b">
        <v>0</v>
      </c>
      <c r="T141" s="72" t="b">
        <v>0</v>
      </c>
      <c r="U141" s="72" t="b">
        <v>0</v>
      </c>
      <c r="V141" s="72" t="b">
        <v>1</v>
      </c>
      <c r="W141" s="72" t="b">
        <v>0</v>
      </c>
      <c r="X141" s="72" t="b">
        <v>0</v>
      </c>
      <c r="Y141" s="72" t="b">
        <v>1</v>
      </c>
      <c r="Z141" s="72" t="b">
        <v>1</v>
      </c>
      <c r="AA141" s="72" t="b">
        <v>1</v>
      </c>
      <c r="AB141" s="72" t="b">
        <v>0</v>
      </c>
      <c r="AC141" s="72" t="b">
        <v>0</v>
      </c>
      <c r="AD141" s="72" t="b">
        <v>0</v>
      </c>
      <c r="AE141" s="72" t="b">
        <v>0</v>
      </c>
      <c r="AF141" s="72" t="b">
        <v>1</v>
      </c>
      <c r="AG141" s="72" t="b">
        <v>1</v>
      </c>
      <c r="AH141" s="72" t="b">
        <v>0</v>
      </c>
      <c r="AI141" s="72" t="b">
        <v>1</v>
      </c>
      <c r="AJ141" s="72" t="b">
        <v>1</v>
      </c>
      <c r="AK141" s="72" t="b">
        <v>0</v>
      </c>
      <c r="AL141" s="72" t="b">
        <v>1</v>
      </c>
      <c r="AM141" s="72" t="b">
        <v>1</v>
      </c>
      <c r="AN141" s="72" t="b">
        <v>1</v>
      </c>
      <c r="AO141" s="72" t="b">
        <v>0</v>
      </c>
      <c r="AP141" s="70"/>
      <c r="AQ141" s="54">
        <f t="shared" si="5"/>
        <v>6</v>
      </c>
    </row>
    <row r="142">
      <c r="A142" s="70" t="s">
        <v>586</v>
      </c>
      <c r="B142" s="70"/>
      <c r="C142" s="71">
        <v>9.693943018E9</v>
      </c>
      <c r="D142" s="70" t="s">
        <v>571</v>
      </c>
      <c r="E142" s="71">
        <f t="shared" si="1"/>
        <v>33</v>
      </c>
      <c r="F142" s="71">
        <f t="shared" si="2"/>
        <v>13</v>
      </c>
      <c r="G142" s="55">
        <f t="shared" si="3"/>
        <v>39.39393939</v>
      </c>
      <c r="H142" s="70"/>
      <c r="I142" s="72" t="b">
        <v>0</v>
      </c>
      <c r="J142" s="72" t="b">
        <v>0</v>
      </c>
      <c r="K142" s="72" t="b">
        <v>0</v>
      </c>
      <c r="L142" s="72" t="b">
        <v>0</v>
      </c>
      <c r="M142" s="72" t="b">
        <v>0</v>
      </c>
      <c r="N142" s="72" t="b">
        <v>0</v>
      </c>
      <c r="O142" s="72" t="b">
        <v>0</v>
      </c>
      <c r="P142" s="72" t="b">
        <v>0</v>
      </c>
      <c r="Q142" s="72" t="b">
        <v>0</v>
      </c>
      <c r="R142" s="72" t="b">
        <v>1</v>
      </c>
      <c r="S142" s="72" t="b">
        <v>0</v>
      </c>
      <c r="T142" s="72" t="b">
        <v>0</v>
      </c>
      <c r="U142" s="72" t="b">
        <v>0</v>
      </c>
      <c r="V142" s="72" t="b">
        <v>0</v>
      </c>
      <c r="W142" s="72" t="b">
        <v>1</v>
      </c>
      <c r="X142" s="72" t="b">
        <v>1</v>
      </c>
      <c r="Y142" s="72" t="b">
        <v>1</v>
      </c>
      <c r="Z142" s="72" t="b">
        <v>1</v>
      </c>
      <c r="AA142" s="72" t="b">
        <v>0</v>
      </c>
      <c r="AB142" s="72" t="b">
        <v>0</v>
      </c>
      <c r="AC142" s="72" t="b">
        <v>0</v>
      </c>
      <c r="AD142" s="72" t="b">
        <v>0</v>
      </c>
      <c r="AE142" s="72" t="b">
        <v>1</v>
      </c>
      <c r="AF142" s="72" t="b">
        <v>1</v>
      </c>
      <c r="AG142" s="72" t="b">
        <v>1</v>
      </c>
      <c r="AH142" s="72" t="b">
        <v>1</v>
      </c>
      <c r="AI142" s="72" t="b">
        <v>1</v>
      </c>
      <c r="AJ142" s="72" t="b">
        <v>1</v>
      </c>
      <c r="AK142" s="72" t="b">
        <v>1</v>
      </c>
      <c r="AL142" s="72" t="b">
        <v>0</v>
      </c>
      <c r="AM142" s="72" t="b">
        <v>1</v>
      </c>
      <c r="AN142" s="72" t="b">
        <v>0</v>
      </c>
      <c r="AO142" s="72" t="b">
        <v>0</v>
      </c>
      <c r="AP142" s="70"/>
      <c r="AQ142" s="54">
        <f t="shared" si="5"/>
        <v>6</v>
      </c>
    </row>
    <row r="143">
      <c r="A143" s="70" t="s">
        <v>587</v>
      </c>
      <c r="B143" s="70"/>
      <c r="C143" s="71">
        <v>8.378027947E9</v>
      </c>
      <c r="D143" s="70" t="s">
        <v>571</v>
      </c>
      <c r="E143" s="71">
        <f t="shared" si="1"/>
        <v>33</v>
      </c>
      <c r="F143" s="71">
        <f t="shared" si="2"/>
        <v>18</v>
      </c>
      <c r="G143" s="55">
        <f t="shared" si="3"/>
        <v>54.54545455</v>
      </c>
      <c r="H143" s="70"/>
      <c r="I143" s="72" t="b">
        <v>0</v>
      </c>
      <c r="J143" s="72" t="b">
        <v>1</v>
      </c>
      <c r="K143" s="72" t="b">
        <v>1</v>
      </c>
      <c r="L143" s="72" t="b">
        <v>0</v>
      </c>
      <c r="M143" s="72" t="b">
        <v>1</v>
      </c>
      <c r="N143" s="72" t="b">
        <v>0</v>
      </c>
      <c r="O143" s="72" t="b">
        <v>0</v>
      </c>
      <c r="P143" s="72" t="b">
        <v>0</v>
      </c>
      <c r="Q143" s="72" t="b">
        <v>1</v>
      </c>
      <c r="R143" s="72" t="b">
        <v>1</v>
      </c>
      <c r="S143" s="72" t="b">
        <v>1</v>
      </c>
      <c r="T143" s="72" t="b">
        <v>1</v>
      </c>
      <c r="U143" s="72" t="b">
        <v>1</v>
      </c>
      <c r="V143" s="72" t="b">
        <v>1</v>
      </c>
      <c r="W143" s="72" t="b">
        <v>1</v>
      </c>
      <c r="X143" s="72" t="b">
        <v>0</v>
      </c>
      <c r="Y143" s="72" t="b">
        <v>1</v>
      </c>
      <c r="Z143" s="72" t="b">
        <v>1</v>
      </c>
      <c r="AA143" s="72" t="b">
        <v>0</v>
      </c>
      <c r="AB143" s="72" t="b">
        <v>0</v>
      </c>
      <c r="AC143" s="72" t="b">
        <v>0</v>
      </c>
      <c r="AD143" s="72" t="b">
        <v>0</v>
      </c>
      <c r="AE143" s="72" t="b">
        <v>0</v>
      </c>
      <c r="AF143" s="72" t="b">
        <v>0</v>
      </c>
      <c r="AG143" s="72" t="b">
        <v>1</v>
      </c>
      <c r="AH143" s="72" t="b">
        <v>1</v>
      </c>
      <c r="AI143" s="72" t="b">
        <v>1</v>
      </c>
      <c r="AJ143" s="72" t="b">
        <v>1</v>
      </c>
      <c r="AK143" s="72" t="b">
        <v>1</v>
      </c>
      <c r="AL143" s="72" t="b">
        <v>1</v>
      </c>
      <c r="AM143" s="72" t="b">
        <v>0</v>
      </c>
      <c r="AN143" s="72" t="b">
        <v>0</v>
      </c>
      <c r="AO143" s="72" t="b">
        <v>0</v>
      </c>
      <c r="AP143" s="70"/>
      <c r="AQ143" s="54">
        <f t="shared" si="5"/>
        <v>6</v>
      </c>
    </row>
    <row r="144">
      <c r="A144" s="70" t="s">
        <v>588</v>
      </c>
      <c r="B144" s="70" t="s">
        <v>589</v>
      </c>
      <c r="C144" s="71">
        <v>7.683065968E9</v>
      </c>
      <c r="D144" s="70" t="s">
        <v>571</v>
      </c>
      <c r="E144" s="71">
        <f t="shared" si="1"/>
        <v>33</v>
      </c>
      <c r="F144" s="71">
        <f t="shared" si="2"/>
        <v>17</v>
      </c>
      <c r="G144" s="55">
        <f t="shared" si="3"/>
        <v>51.51515152</v>
      </c>
      <c r="H144" s="70"/>
      <c r="I144" s="72" t="b">
        <v>0</v>
      </c>
      <c r="J144" s="72" t="b">
        <v>0</v>
      </c>
      <c r="K144" s="72" t="b">
        <v>1</v>
      </c>
      <c r="L144" s="72" t="b">
        <v>1</v>
      </c>
      <c r="M144" s="72" t="b">
        <v>1</v>
      </c>
      <c r="N144" s="72" t="b">
        <v>0</v>
      </c>
      <c r="O144" s="72" t="b">
        <v>0</v>
      </c>
      <c r="P144" s="72" t="b">
        <v>0</v>
      </c>
      <c r="Q144" s="72" t="b">
        <v>0</v>
      </c>
      <c r="R144" s="72" t="b">
        <v>0</v>
      </c>
      <c r="S144" s="72" t="b">
        <v>0</v>
      </c>
      <c r="T144" s="72" t="b">
        <v>0</v>
      </c>
      <c r="U144" s="72" t="b">
        <v>0</v>
      </c>
      <c r="V144" s="72" t="b">
        <v>1</v>
      </c>
      <c r="W144" s="72" t="b">
        <v>0</v>
      </c>
      <c r="X144" s="72" t="b">
        <v>0</v>
      </c>
      <c r="Y144" s="72" t="b">
        <v>0</v>
      </c>
      <c r="Z144" s="72" t="b">
        <v>0</v>
      </c>
      <c r="AA144" s="72" t="b">
        <v>0</v>
      </c>
      <c r="AB144" s="72" t="b">
        <v>1</v>
      </c>
      <c r="AC144" s="72" t="b">
        <v>1</v>
      </c>
      <c r="AD144" s="72" t="b">
        <v>0</v>
      </c>
      <c r="AE144" s="72" t="b">
        <v>1</v>
      </c>
      <c r="AF144" s="72" t="b">
        <v>1</v>
      </c>
      <c r="AG144" s="72" t="b">
        <v>1</v>
      </c>
      <c r="AH144" s="72" t="b">
        <v>1</v>
      </c>
      <c r="AI144" s="72" t="b">
        <v>1</v>
      </c>
      <c r="AJ144" s="72" t="b">
        <v>1</v>
      </c>
      <c r="AK144" s="72" t="b">
        <v>1</v>
      </c>
      <c r="AL144" s="72" t="b">
        <v>1</v>
      </c>
      <c r="AM144" s="72" t="b">
        <v>1</v>
      </c>
      <c r="AN144" s="72" t="b">
        <v>1</v>
      </c>
      <c r="AO144" s="72" t="b">
        <v>1</v>
      </c>
      <c r="AP144" s="70"/>
      <c r="AQ144" s="54">
        <f t="shared" si="5"/>
        <v>9</v>
      </c>
    </row>
    <row r="145">
      <c r="A145" s="70" t="s">
        <v>590</v>
      </c>
      <c r="B145" s="70"/>
      <c r="C145" s="71">
        <v>8.29347853E9</v>
      </c>
      <c r="D145" s="70" t="s">
        <v>571</v>
      </c>
      <c r="E145" s="71">
        <f t="shared" si="1"/>
        <v>33</v>
      </c>
      <c r="F145" s="71">
        <f t="shared" si="2"/>
        <v>19</v>
      </c>
      <c r="G145" s="55">
        <f t="shared" si="3"/>
        <v>57.57575758</v>
      </c>
      <c r="H145" s="70"/>
      <c r="I145" s="72" t="b">
        <v>0</v>
      </c>
      <c r="J145" s="72" t="b">
        <v>0</v>
      </c>
      <c r="K145" s="72" t="b">
        <v>0</v>
      </c>
      <c r="L145" s="72" t="b">
        <v>1</v>
      </c>
      <c r="M145" s="72" t="b">
        <v>0</v>
      </c>
      <c r="N145" s="72" t="b">
        <v>1</v>
      </c>
      <c r="O145" s="72" t="b">
        <v>1</v>
      </c>
      <c r="P145" s="72" t="b">
        <v>1</v>
      </c>
      <c r="Q145" s="72" t="b">
        <v>1</v>
      </c>
      <c r="R145" s="72" t="b">
        <v>1</v>
      </c>
      <c r="S145" s="72" t="b">
        <v>0</v>
      </c>
      <c r="T145" s="72" t="b">
        <v>0</v>
      </c>
      <c r="U145" s="72" t="b">
        <v>1</v>
      </c>
      <c r="V145" s="72" t="b">
        <v>0</v>
      </c>
      <c r="W145" s="72" t="b">
        <v>1</v>
      </c>
      <c r="X145" s="72" t="b">
        <v>1</v>
      </c>
      <c r="Y145" s="72" t="b">
        <v>1</v>
      </c>
      <c r="Z145" s="72" t="b">
        <v>1</v>
      </c>
      <c r="AA145" s="72" t="b">
        <v>1</v>
      </c>
      <c r="AB145" s="72" t="b">
        <v>0</v>
      </c>
      <c r="AC145" s="72" t="b">
        <v>0</v>
      </c>
      <c r="AD145" s="72" t="b">
        <v>0</v>
      </c>
      <c r="AE145" s="72" t="b">
        <v>1</v>
      </c>
      <c r="AF145" s="72" t="b">
        <v>1</v>
      </c>
      <c r="AG145" s="72" t="b">
        <v>1</v>
      </c>
      <c r="AH145" s="72" t="b">
        <v>1</v>
      </c>
      <c r="AI145" s="72" t="b">
        <v>1</v>
      </c>
      <c r="AJ145" s="72" t="b">
        <v>1</v>
      </c>
      <c r="AK145" s="72" t="b">
        <v>1</v>
      </c>
      <c r="AL145" s="72" t="b">
        <v>0</v>
      </c>
      <c r="AM145" s="72" t="b">
        <v>0</v>
      </c>
      <c r="AN145" s="72" t="b">
        <v>0</v>
      </c>
      <c r="AO145" s="72" t="b">
        <v>0</v>
      </c>
      <c r="AP145" s="70"/>
      <c r="AQ145" s="54">
        <f t="shared" si="5"/>
        <v>5</v>
      </c>
    </row>
    <row r="146">
      <c r="A146" s="70" t="s">
        <v>591</v>
      </c>
      <c r="B146" s="70"/>
      <c r="C146" s="71" t="s">
        <v>592</v>
      </c>
      <c r="D146" s="70" t="s">
        <v>571</v>
      </c>
      <c r="E146" s="71">
        <f t="shared" si="1"/>
        <v>33</v>
      </c>
      <c r="F146" s="71">
        <f t="shared" si="2"/>
        <v>27</v>
      </c>
      <c r="G146" s="52">
        <f t="shared" si="3"/>
        <v>81.81818182</v>
      </c>
      <c r="H146" s="70"/>
      <c r="I146" s="72" t="b">
        <v>1</v>
      </c>
      <c r="J146" s="72" t="b">
        <v>1</v>
      </c>
      <c r="K146" s="72" t="b">
        <v>1</v>
      </c>
      <c r="L146" s="72" t="b">
        <v>1</v>
      </c>
      <c r="M146" s="72" t="b">
        <v>1</v>
      </c>
      <c r="N146" s="72" t="b">
        <v>1</v>
      </c>
      <c r="O146" s="72" t="b">
        <v>1</v>
      </c>
      <c r="P146" s="72" t="b">
        <v>1</v>
      </c>
      <c r="Q146" s="72" t="b">
        <v>0</v>
      </c>
      <c r="R146" s="72" t="b">
        <v>0</v>
      </c>
      <c r="S146" s="72" t="b">
        <v>0</v>
      </c>
      <c r="T146" s="72" t="b">
        <v>1</v>
      </c>
      <c r="U146" s="72" t="b">
        <v>0</v>
      </c>
      <c r="V146" s="72" t="b">
        <v>1</v>
      </c>
      <c r="W146" s="72" t="b">
        <v>1</v>
      </c>
      <c r="X146" s="72" t="b">
        <v>1</v>
      </c>
      <c r="Y146" s="72" t="b">
        <v>1</v>
      </c>
      <c r="Z146" s="72" t="b">
        <v>1</v>
      </c>
      <c r="AA146" s="72" t="b">
        <v>1</v>
      </c>
      <c r="AB146" s="72" t="b">
        <v>0</v>
      </c>
      <c r="AC146" s="72" t="b">
        <v>1</v>
      </c>
      <c r="AD146" s="72" t="b">
        <v>1</v>
      </c>
      <c r="AE146" s="72" t="b">
        <v>1</v>
      </c>
      <c r="AF146" s="72" t="b">
        <v>1</v>
      </c>
      <c r="AG146" s="72" t="b">
        <v>1</v>
      </c>
      <c r="AH146" s="72" t="b">
        <v>1</v>
      </c>
      <c r="AI146" s="72" t="b">
        <v>1</v>
      </c>
      <c r="AJ146" s="72" t="b">
        <v>1</v>
      </c>
      <c r="AK146" s="72" t="b">
        <v>1</v>
      </c>
      <c r="AL146" s="72" t="b">
        <v>0</v>
      </c>
      <c r="AM146" s="72" t="b">
        <v>1</v>
      </c>
      <c r="AN146" s="72" t="b">
        <v>1</v>
      </c>
      <c r="AO146" s="72" t="b">
        <v>1</v>
      </c>
      <c r="AP146" s="70"/>
      <c r="AQ146" s="54">
        <f t="shared" si="5"/>
        <v>8</v>
      </c>
    </row>
    <row r="147">
      <c r="A147" s="70" t="s">
        <v>593</v>
      </c>
      <c r="B147" s="70"/>
      <c r="C147" s="71" t="s">
        <v>594</v>
      </c>
      <c r="D147" s="70" t="s">
        <v>571</v>
      </c>
      <c r="E147" s="71">
        <f t="shared" si="1"/>
        <v>33</v>
      </c>
      <c r="F147" s="71">
        <f t="shared" si="2"/>
        <v>25</v>
      </c>
      <c r="G147" s="52">
        <f t="shared" si="3"/>
        <v>75.75757576</v>
      </c>
      <c r="H147" s="70"/>
      <c r="I147" s="72" t="b">
        <v>1</v>
      </c>
      <c r="J147" s="72" t="b">
        <v>0</v>
      </c>
      <c r="K147" s="72" t="b">
        <v>0</v>
      </c>
      <c r="L147" s="72" t="b">
        <v>1</v>
      </c>
      <c r="M147" s="72" t="b">
        <v>1</v>
      </c>
      <c r="N147" s="72" t="b">
        <v>1</v>
      </c>
      <c r="O147" s="72" t="b">
        <v>1</v>
      </c>
      <c r="P147" s="72" t="b">
        <v>1</v>
      </c>
      <c r="Q147" s="72" t="b">
        <v>1</v>
      </c>
      <c r="R147" s="72" t="b">
        <v>1</v>
      </c>
      <c r="S147" s="72" t="b">
        <v>0</v>
      </c>
      <c r="T147" s="72" t="b">
        <v>1</v>
      </c>
      <c r="U147" s="72" t="b">
        <v>1</v>
      </c>
      <c r="V147" s="72" t="b">
        <v>1</v>
      </c>
      <c r="W147" s="72" t="b">
        <v>1</v>
      </c>
      <c r="X147" s="72" t="b">
        <v>1</v>
      </c>
      <c r="Y147" s="72" t="b">
        <v>1</v>
      </c>
      <c r="Z147" s="72" t="b">
        <v>1</v>
      </c>
      <c r="AA147" s="72" t="b">
        <v>1</v>
      </c>
      <c r="AB147" s="72" t="b">
        <v>0</v>
      </c>
      <c r="AC147" s="72" t="b">
        <v>1</v>
      </c>
      <c r="AD147" s="72" t="b">
        <v>1</v>
      </c>
      <c r="AE147" s="72" t="b">
        <v>1</v>
      </c>
      <c r="AF147" s="72" t="b">
        <v>0</v>
      </c>
      <c r="AG147" s="72" t="b">
        <v>1</v>
      </c>
      <c r="AH147" s="72" t="b">
        <v>1</v>
      </c>
      <c r="AI147" s="72" t="b">
        <v>1</v>
      </c>
      <c r="AJ147" s="72" t="b">
        <v>1</v>
      </c>
      <c r="AK147" s="72" t="b">
        <v>1</v>
      </c>
      <c r="AL147" s="72" t="b">
        <v>0</v>
      </c>
      <c r="AM147" s="72" t="b">
        <v>0</v>
      </c>
      <c r="AN147" s="72" t="b">
        <v>1</v>
      </c>
      <c r="AO147" s="72" t="b">
        <v>0</v>
      </c>
      <c r="AP147" s="70"/>
      <c r="AQ147" s="54">
        <f t="shared" si="5"/>
        <v>6</v>
      </c>
    </row>
    <row r="148">
      <c r="A148" s="70" t="s">
        <v>595</v>
      </c>
      <c r="B148" s="70"/>
      <c r="C148" s="71">
        <v>9.31096525E9</v>
      </c>
      <c r="D148" s="70" t="s">
        <v>571</v>
      </c>
      <c r="E148" s="71">
        <f t="shared" si="1"/>
        <v>33</v>
      </c>
      <c r="F148" s="71">
        <f t="shared" si="2"/>
        <v>21</v>
      </c>
      <c r="G148" s="55">
        <f t="shared" si="3"/>
        <v>63.63636364</v>
      </c>
      <c r="H148" s="70"/>
      <c r="I148" s="72" t="b">
        <v>1</v>
      </c>
      <c r="J148" s="72" t="b">
        <v>1</v>
      </c>
      <c r="K148" s="72" t="b">
        <v>0</v>
      </c>
      <c r="L148" s="72" t="b">
        <v>0</v>
      </c>
      <c r="M148" s="72" t="b">
        <v>1</v>
      </c>
      <c r="N148" s="72" t="b">
        <v>1</v>
      </c>
      <c r="O148" s="72" t="b">
        <v>1</v>
      </c>
      <c r="P148" s="72" t="b">
        <v>0</v>
      </c>
      <c r="Q148" s="72" t="b">
        <v>0</v>
      </c>
      <c r="R148" s="72" t="b">
        <v>0</v>
      </c>
      <c r="S148" s="72" t="b">
        <v>0</v>
      </c>
      <c r="T148" s="72" t="b">
        <v>0</v>
      </c>
      <c r="U148" s="72" t="b">
        <v>0</v>
      </c>
      <c r="V148" s="72" t="b">
        <v>1</v>
      </c>
      <c r="W148" s="72" t="b">
        <v>1</v>
      </c>
      <c r="X148" s="72" t="b">
        <v>0</v>
      </c>
      <c r="Y148" s="72" t="b">
        <v>1</v>
      </c>
      <c r="Z148" s="72" t="b">
        <v>1</v>
      </c>
      <c r="AA148" s="72" t="b">
        <v>1</v>
      </c>
      <c r="AB148" s="72" t="b">
        <v>1</v>
      </c>
      <c r="AC148" s="72" t="b">
        <v>1</v>
      </c>
      <c r="AD148" s="72" t="b">
        <v>1</v>
      </c>
      <c r="AE148" s="72" t="b">
        <v>0</v>
      </c>
      <c r="AF148" s="72" t="b">
        <v>0</v>
      </c>
      <c r="AG148" s="72" t="b">
        <v>1</v>
      </c>
      <c r="AH148" s="72" t="b">
        <v>1</v>
      </c>
      <c r="AI148" s="72" t="b">
        <v>1</v>
      </c>
      <c r="AJ148" s="72" t="b">
        <v>0</v>
      </c>
      <c r="AK148" s="72" t="b">
        <v>1</v>
      </c>
      <c r="AL148" s="72" t="b">
        <v>1</v>
      </c>
      <c r="AM148" s="72" t="b">
        <v>1</v>
      </c>
      <c r="AN148" s="72" t="b">
        <v>1</v>
      </c>
      <c r="AO148" s="72" t="b">
        <v>1</v>
      </c>
      <c r="AP148" s="70"/>
      <c r="AQ148" s="54">
        <f t="shared" si="5"/>
        <v>8</v>
      </c>
    </row>
    <row r="149">
      <c r="A149" s="70" t="s">
        <v>596</v>
      </c>
      <c r="B149" s="70"/>
      <c r="C149" s="71">
        <v>8.52721962E9</v>
      </c>
      <c r="D149" s="70" t="s">
        <v>571</v>
      </c>
      <c r="E149" s="71">
        <f t="shared" si="1"/>
        <v>33</v>
      </c>
      <c r="F149" s="71">
        <f t="shared" si="2"/>
        <v>9</v>
      </c>
      <c r="G149" s="55">
        <f t="shared" si="3"/>
        <v>27.27272727</v>
      </c>
      <c r="H149" s="70"/>
      <c r="I149" s="72" t="b">
        <v>0</v>
      </c>
      <c r="J149" s="72" t="b">
        <v>0</v>
      </c>
      <c r="K149" s="72" t="b">
        <v>1</v>
      </c>
      <c r="L149" s="72" t="b">
        <v>1</v>
      </c>
      <c r="M149" s="72" t="b">
        <v>0</v>
      </c>
      <c r="N149" s="72" t="b">
        <v>0</v>
      </c>
      <c r="O149" s="72" t="b">
        <v>0</v>
      </c>
      <c r="P149" s="72" t="b">
        <v>0</v>
      </c>
      <c r="Q149" s="72" t="b">
        <v>0</v>
      </c>
      <c r="R149" s="72" t="b">
        <v>1</v>
      </c>
      <c r="S149" s="72" t="b">
        <v>1</v>
      </c>
      <c r="T149" s="72" t="b">
        <v>1</v>
      </c>
      <c r="U149" s="72" t="b">
        <v>0</v>
      </c>
      <c r="V149" s="72" t="b">
        <v>0</v>
      </c>
      <c r="W149" s="72" t="b">
        <v>0</v>
      </c>
      <c r="X149" s="72" t="b">
        <v>0</v>
      </c>
      <c r="Y149" s="72" t="b">
        <v>0</v>
      </c>
      <c r="Z149" s="72" t="b">
        <v>1</v>
      </c>
      <c r="AA149" s="72" t="b">
        <v>0</v>
      </c>
      <c r="AB149" s="72" t="b">
        <v>0</v>
      </c>
      <c r="AC149" s="72" t="b">
        <v>0</v>
      </c>
      <c r="AD149" s="72" t="b">
        <v>0</v>
      </c>
      <c r="AE149" s="72" t="b">
        <v>1</v>
      </c>
      <c r="AF149" s="72" t="b">
        <v>1</v>
      </c>
      <c r="AG149" s="72" t="b">
        <v>0</v>
      </c>
      <c r="AH149" s="72" t="b">
        <v>1</v>
      </c>
      <c r="AI149" s="72" t="b">
        <v>0</v>
      </c>
      <c r="AJ149" s="72" t="b">
        <v>0</v>
      </c>
      <c r="AK149" s="72" t="b">
        <v>0</v>
      </c>
      <c r="AL149" s="72" t="b">
        <v>0</v>
      </c>
      <c r="AM149" s="72" t="b">
        <v>0</v>
      </c>
      <c r="AN149" s="72" t="b">
        <v>0</v>
      </c>
      <c r="AO149" s="72" t="b">
        <v>0</v>
      </c>
      <c r="AP149" s="70"/>
      <c r="AQ149" s="54">
        <f t="shared" si="5"/>
        <v>1</v>
      </c>
    </row>
    <row r="150">
      <c r="A150" s="70" t="s">
        <v>597</v>
      </c>
      <c r="B150" s="70"/>
      <c r="C150" s="71" t="s">
        <v>598</v>
      </c>
      <c r="D150" s="70" t="s">
        <v>571</v>
      </c>
      <c r="E150" s="71">
        <f t="shared" si="1"/>
        <v>33</v>
      </c>
      <c r="F150" s="71">
        <f t="shared" si="2"/>
        <v>19</v>
      </c>
      <c r="G150" s="55">
        <f t="shared" si="3"/>
        <v>57.57575758</v>
      </c>
      <c r="H150" s="70"/>
      <c r="I150" s="72" t="b">
        <v>0</v>
      </c>
      <c r="J150" s="72" t="b">
        <v>0</v>
      </c>
      <c r="K150" s="72" t="b">
        <v>1</v>
      </c>
      <c r="L150" s="72" t="b">
        <v>1</v>
      </c>
      <c r="M150" s="72" t="b">
        <v>1</v>
      </c>
      <c r="N150" s="72" t="b">
        <v>0</v>
      </c>
      <c r="O150" s="72" t="b">
        <v>0</v>
      </c>
      <c r="P150" s="72" t="b">
        <v>0</v>
      </c>
      <c r="Q150" s="72" t="b">
        <v>0</v>
      </c>
      <c r="R150" s="72" t="b">
        <v>0</v>
      </c>
      <c r="S150" s="72" t="b">
        <v>0</v>
      </c>
      <c r="T150" s="72" t="b">
        <v>1</v>
      </c>
      <c r="U150" s="72" t="b">
        <v>0</v>
      </c>
      <c r="V150" s="72" t="b">
        <v>1</v>
      </c>
      <c r="W150" s="72" t="b">
        <v>1</v>
      </c>
      <c r="X150" s="72" t="b">
        <v>0</v>
      </c>
      <c r="Y150" s="72" t="b">
        <v>0</v>
      </c>
      <c r="Z150" s="72" t="b">
        <v>0</v>
      </c>
      <c r="AA150" s="72" t="b">
        <v>1</v>
      </c>
      <c r="AB150" s="72" t="b">
        <v>1</v>
      </c>
      <c r="AC150" s="72" t="b">
        <v>1</v>
      </c>
      <c r="AD150" s="72" t="b">
        <v>1</v>
      </c>
      <c r="AE150" s="72" t="b">
        <v>1</v>
      </c>
      <c r="AF150" s="72" t="b">
        <v>1</v>
      </c>
      <c r="AG150" s="72" t="b">
        <v>1</v>
      </c>
      <c r="AH150" s="72" t="b">
        <v>1</v>
      </c>
      <c r="AI150" s="72" t="b">
        <v>1</v>
      </c>
      <c r="AJ150" s="72" t="b">
        <v>1</v>
      </c>
      <c r="AK150" s="72" t="b">
        <v>0</v>
      </c>
      <c r="AL150" s="72" t="b">
        <v>1</v>
      </c>
      <c r="AM150" s="72" t="b">
        <v>0</v>
      </c>
      <c r="AN150" s="72" t="b">
        <v>1</v>
      </c>
      <c r="AO150" s="72" t="b">
        <v>1</v>
      </c>
      <c r="AP150" s="70"/>
      <c r="AQ150" s="54">
        <f t="shared" si="5"/>
        <v>7</v>
      </c>
    </row>
    <row r="151">
      <c r="A151" s="73" t="s">
        <v>599</v>
      </c>
      <c r="B151" s="73" t="s">
        <v>600</v>
      </c>
      <c r="C151" s="74">
        <v>9.56046799E8</v>
      </c>
      <c r="D151" s="73" t="s">
        <v>571</v>
      </c>
      <c r="E151" s="74">
        <f t="shared" si="1"/>
        <v>33</v>
      </c>
      <c r="F151" s="74">
        <f t="shared" si="2"/>
        <v>10</v>
      </c>
      <c r="G151" s="55">
        <f t="shared" si="3"/>
        <v>30.3030303</v>
      </c>
      <c r="H151" s="73"/>
      <c r="I151" s="75" t="b">
        <v>0</v>
      </c>
      <c r="J151" s="75" t="b">
        <v>0</v>
      </c>
      <c r="K151" s="75" t="b">
        <v>0</v>
      </c>
      <c r="L151" s="75" t="b">
        <v>0</v>
      </c>
      <c r="M151" s="75" t="b">
        <v>0</v>
      </c>
      <c r="N151" s="75" t="b">
        <v>0</v>
      </c>
      <c r="O151" s="75" t="b">
        <v>0</v>
      </c>
      <c r="P151" s="75" t="b">
        <v>0</v>
      </c>
      <c r="Q151" s="75" t="b">
        <v>0</v>
      </c>
      <c r="R151" s="75" t="b">
        <v>0</v>
      </c>
      <c r="S151" s="75" t="b">
        <v>0</v>
      </c>
      <c r="T151" s="75" t="b">
        <v>0</v>
      </c>
      <c r="U151" s="75" t="b">
        <v>0</v>
      </c>
      <c r="V151" s="75" t="b">
        <v>0</v>
      </c>
      <c r="W151" s="75" t="b">
        <v>0</v>
      </c>
      <c r="X151" s="75" t="b">
        <v>0</v>
      </c>
      <c r="Y151" s="75" t="b">
        <v>0</v>
      </c>
      <c r="Z151" s="75" t="b">
        <v>0</v>
      </c>
      <c r="AA151" s="75" t="b">
        <v>0</v>
      </c>
      <c r="AB151" s="75" t="b">
        <v>0</v>
      </c>
      <c r="AC151" s="75" t="b">
        <v>0</v>
      </c>
      <c r="AD151" s="75" t="b">
        <v>0</v>
      </c>
      <c r="AE151" s="75" t="b">
        <v>1</v>
      </c>
      <c r="AF151" s="75" t="b">
        <v>1</v>
      </c>
      <c r="AG151" s="75" t="b">
        <v>1</v>
      </c>
      <c r="AH151" s="75" t="b">
        <v>1</v>
      </c>
      <c r="AI151" s="75" t="b">
        <v>1</v>
      </c>
      <c r="AJ151" s="75" t="b">
        <v>1</v>
      </c>
      <c r="AK151" s="75" t="b">
        <v>1</v>
      </c>
      <c r="AL151" s="75" t="b">
        <v>0</v>
      </c>
      <c r="AM151" s="75" t="b">
        <v>1</v>
      </c>
      <c r="AN151" s="75" t="b">
        <v>1</v>
      </c>
      <c r="AO151" s="75" t="b">
        <v>1</v>
      </c>
      <c r="AP151" s="73"/>
      <c r="AQ151" s="76">
        <f t="shared" si="5"/>
        <v>8</v>
      </c>
    </row>
    <row r="152">
      <c r="A152" s="70" t="s">
        <v>601</v>
      </c>
      <c r="B152" s="70"/>
      <c r="C152" s="71">
        <v>9.31580315E8</v>
      </c>
      <c r="D152" s="70" t="s">
        <v>571</v>
      </c>
      <c r="E152" s="71">
        <f t="shared" si="1"/>
        <v>33</v>
      </c>
      <c r="F152" s="71">
        <f t="shared" si="2"/>
        <v>16</v>
      </c>
      <c r="G152" s="55">
        <f t="shared" si="3"/>
        <v>48.48484848</v>
      </c>
      <c r="H152" s="70"/>
      <c r="I152" s="72" t="b">
        <v>0</v>
      </c>
      <c r="J152" s="72" t="b">
        <v>1</v>
      </c>
      <c r="K152" s="72" t="b">
        <v>0</v>
      </c>
      <c r="L152" s="72" t="b">
        <v>0</v>
      </c>
      <c r="M152" s="72" t="b">
        <v>0</v>
      </c>
      <c r="N152" s="72" t="b">
        <v>0</v>
      </c>
      <c r="O152" s="72" t="b">
        <v>0</v>
      </c>
      <c r="P152" s="72" t="b">
        <v>0</v>
      </c>
      <c r="Q152" s="72" t="b">
        <v>0</v>
      </c>
      <c r="R152" s="72" t="b">
        <v>0</v>
      </c>
      <c r="S152" s="72" t="b">
        <v>1</v>
      </c>
      <c r="T152" s="72" t="b">
        <v>1</v>
      </c>
      <c r="U152" s="72" t="b">
        <v>0</v>
      </c>
      <c r="V152" s="72" t="b">
        <v>0</v>
      </c>
      <c r="W152" s="72" t="b">
        <v>0</v>
      </c>
      <c r="X152" s="72" t="b">
        <v>0</v>
      </c>
      <c r="Y152" s="72" t="b">
        <v>1</v>
      </c>
      <c r="Z152" s="72" t="b">
        <v>0</v>
      </c>
      <c r="AA152" s="72" t="b">
        <v>1</v>
      </c>
      <c r="AB152" s="72" t="b">
        <v>0</v>
      </c>
      <c r="AC152" s="72" t="b">
        <v>1</v>
      </c>
      <c r="AD152" s="72" t="b">
        <v>1</v>
      </c>
      <c r="AE152" s="72" t="b">
        <v>1</v>
      </c>
      <c r="AF152" s="72" t="b">
        <v>0</v>
      </c>
      <c r="AG152" s="72" t="b">
        <v>1</v>
      </c>
      <c r="AH152" s="72" t="b">
        <v>1</v>
      </c>
      <c r="AI152" s="72" t="b">
        <v>1</v>
      </c>
      <c r="AJ152" s="72" t="b">
        <v>1</v>
      </c>
      <c r="AK152" s="72" t="b">
        <v>1</v>
      </c>
      <c r="AL152" s="72" t="b">
        <v>0</v>
      </c>
      <c r="AM152" s="72" t="b">
        <v>1</v>
      </c>
      <c r="AN152" s="72" t="b">
        <v>1</v>
      </c>
      <c r="AO152" s="72" t="b">
        <v>1</v>
      </c>
      <c r="AP152" s="70"/>
      <c r="AQ152" s="54">
        <f t="shared" si="5"/>
        <v>8</v>
      </c>
    </row>
    <row r="153">
      <c r="A153" s="70" t="s">
        <v>602</v>
      </c>
      <c r="B153" s="70"/>
      <c r="C153" s="71">
        <v>7.505414353E9</v>
      </c>
      <c r="D153" s="70" t="s">
        <v>571</v>
      </c>
      <c r="E153" s="71">
        <f t="shared" si="1"/>
        <v>33</v>
      </c>
      <c r="F153" s="71">
        <f t="shared" si="2"/>
        <v>17</v>
      </c>
      <c r="G153" s="55">
        <f t="shared" si="3"/>
        <v>51.51515152</v>
      </c>
      <c r="H153" s="70"/>
      <c r="I153" s="72" t="b">
        <v>0</v>
      </c>
      <c r="J153" s="72" t="b">
        <v>0</v>
      </c>
      <c r="K153" s="72" t="b">
        <v>0</v>
      </c>
      <c r="L153" s="72" t="b">
        <v>0</v>
      </c>
      <c r="M153" s="72" t="b">
        <v>0</v>
      </c>
      <c r="N153" s="72" t="b">
        <v>0</v>
      </c>
      <c r="O153" s="72" t="b">
        <v>0</v>
      </c>
      <c r="P153" s="72" t="b">
        <v>1</v>
      </c>
      <c r="Q153" s="72" t="b">
        <v>0</v>
      </c>
      <c r="R153" s="72" t="b">
        <v>0</v>
      </c>
      <c r="S153" s="72" t="b">
        <v>0</v>
      </c>
      <c r="T153" s="72" t="b">
        <v>1</v>
      </c>
      <c r="U153" s="72" t="b">
        <v>0</v>
      </c>
      <c r="V153" s="72" t="b">
        <v>1</v>
      </c>
      <c r="W153" s="72" t="b">
        <v>1</v>
      </c>
      <c r="X153" s="72" t="b">
        <v>1</v>
      </c>
      <c r="Y153" s="72" t="b">
        <v>0</v>
      </c>
      <c r="Z153" s="72" t="b">
        <v>1</v>
      </c>
      <c r="AA153" s="72" t="b">
        <v>0</v>
      </c>
      <c r="AB153" s="72" t="b">
        <v>1</v>
      </c>
      <c r="AC153" s="72" t="b">
        <v>0</v>
      </c>
      <c r="AD153" s="72" t="b">
        <v>0</v>
      </c>
      <c r="AE153" s="72" t="b">
        <v>1</v>
      </c>
      <c r="AF153" s="72" t="b">
        <v>1</v>
      </c>
      <c r="AG153" s="72" t="b">
        <v>1</v>
      </c>
      <c r="AH153" s="72" t="b">
        <v>1</v>
      </c>
      <c r="AI153" s="72" t="b">
        <v>1</v>
      </c>
      <c r="AJ153" s="72" t="b">
        <v>1</v>
      </c>
      <c r="AK153" s="72" t="b">
        <v>0</v>
      </c>
      <c r="AL153" s="72" t="b">
        <v>1</v>
      </c>
      <c r="AM153" s="72" t="b">
        <v>1</v>
      </c>
      <c r="AN153" s="72" t="b">
        <v>1</v>
      </c>
      <c r="AO153" s="72" t="b">
        <v>1</v>
      </c>
      <c r="AP153" s="70"/>
      <c r="AQ153" s="54">
        <f t="shared" si="5"/>
        <v>8</v>
      </c>
    </row>
    <row r="154">
      <c r="A154" s="70" t="s">
        <v>603</v>
      </c>
      <c r="B154" s="70"/>
      <c r="C154" s="71" t="s">
        <v>604</v>
      </c>
      <c r="D154" s="70" t="s">
        <v>571</v>
      </c>
      <c r="E154" s="71">
        <f t="shared" si="1"/>
        <v>33</v>
      </c>
      <c r="F154" s="71">
        <f t="shared" si="2"/>
        <v>14</v>
      </c>
      <c r="G154" s="55">
        <f t="shared" si="3"/>
        <v>42.42424242</v>
      </c>
      <c r="H154" s="70"/>
      <c r="I154" s="72" t="b">
        <v>0</v>
      </c>
      <c r="J154" s="72" t="b">
        <v>0</v>
      </c>
      <c r="K154" s="72" t="b">
        <v>0</v>
      </c>
      <c r="L154" s="72" t="b">
        <v>0</v>
      </c>
      <c r="M154" s="72" t="b">
        <v>0</v>
      </c>
      <c r="N154" s="72" t="b">
        <v>0</v>
      </c>
      <c r="O154" s="72" t="b">
        <v>0</v>
      </c>
      <c r="P154" s="72" t="b">
        <v>0</v>
      </c>
      <c r="Q154" s="72" t="b">
        <v>0</v>
      </c>
      <c r="R154" s="72" t="b">
        <v>0</v>
      </c>
      <c r="S154" s="72" t="b">
        <v>0</v>
      </c>
      <c r="T154" s="72" t="b">
        <v>0</v>
      </c>
      <c r="U154" s="72" t="b">
        <v>0</v>
      </c>
      <c r="V154" s="72" t="b">
        <v>0</v>
      </c>
      <c r="W154" s="72" t="b">
        <v>1</v>
      </c>
      <c r="X154" s="72" t="b">
        <v>0</v>
      </c>
      <c r="Y154" s="72" t="b">
        <v>0</v>
      </c>
      <c r="Z154" s="72" t="b">
        <v>0</v>
      </c>
      <c r="AA154" s="72" t="b">
        <v>0</v>
      </c>
      <c r="AB154" s="72" t="b">
        <v>0</v>
      </c>
      <c r="AC154" s="72" t="b">
        <v>1</v>
      </c>
      <c r="AD154" s="72" t="b">
        <v>1</v>
      </c>
      <c r="AE154" s="72" t="b">
        <v>1</v>
      </c>
      <c r="AF154" s="72" t="b">
        <v>1</v>
      </c>
      <c r="AG154" s="72" t="b">
        <v>1</v>
      </c>
      <c r="AH154" s="72" t="b">
        <v>1</v>
      </c>
      <c r="AI154" s="72" t="b">
        <v>1</v>
      </c>
      <c r="AJ154" s="72" t="b">
        <v>1</v>
      </c>
      <c r="AK154" s="72" t="b">
        <v>1</v>
      </c>
      <c r="AL154" s="72" t="b">
        <v>1</v>
      </c>
      <c r="AM154" s="72" t="b">
        <v>1</v>
      </c>
      <c r="AN154" s="72" t="b">
        <v>1</v>
      </c>
      <c r="AO154" s="72" t="b">
        <v>1</v>
      </c>
      <c r="AP154" s="70"/>
      <c r="AQ154" s="54">
        <f t="shared" si="5"/>
        <v>9</v>
      </c>
    </row>
    <row r="155">
      <c r="A155" s="70" t="s">
        <v>605</v>
      </c>
      <c r="B155" s="70"/>
      <c r="C155" s="71" t="s">
        <v>606</v>
      </c>
      <c r="D155" s="70" t="s">
        <v>571</v>
      </c>
      <c r="E155" s="71">
        <f t="shared" si="1"/>
        <v>33</v>
      </c>
      <c r="F155" s="71">
        <f t="shared" si="2"/>
        <v>21</v>
      </c>
      <c r="G155" s="55">
        <f t="shared" si="3"/>
        <v>63.63636364</v>
      </c>
      <c r="H155" s="70"/>
      <c r="I155" s="72" t="b">
        <v>0</v>
      </c>
      <c r="J155" s="72" t="b">
        <v>0</v>
      </c>
      <c r="K155" s="72" t="b">
        <v>0</v>
      </c>
      <c r="L155" s="72" t="b">
        <v>0</v>
      </c>
      <c r="M155" s="72" t="b">
        <v>1</v>
      </c>
      <c r="N155" s="72" t="b">
        <v>1</v>
      </c>
      <c r="O155" s="72" t="b">
        <v>0</v>
      </c>
      <c r="P155" s="72" t="b">
        <v>0</v>
      </c>
      <c r="Q155" s="72" t="b">
        <v>1</v>
      </c>
      <c r="R155" s="72" t="b">
        <v>1</v>
      </c>
      <c r="S155" s="72" t="b">
        <v>1</v>
      </c>
      <c r="T155" s="72" t="b">
        <v>0</v>
      </c>
      <c r="U155" s="72" t="b">
        <v>0</v>
      </c>
      <c r="V155" s="72" t="b">
        <v>1</v>
      </c>
      <c r="W155" s="72" t="b">
        <v>1</v>
      </c>
      <c r="X155" s="72" t="b">
        <v>1</v>
      </c>
      <c r="Y155" s="72" t="b">
        <v>1</v>
      </c>
      <c r="Z155" s="72" t="b">
        <v>1</v>
      </c>
      <c r="AA155" s="72" t="b">
        <v>1</v>
      </c>
      <c r="AB155" s="72" t="b">
        <v>0</v>
      </c>
      <c r="AC155" s="72" t="b">
        <v>1</v>
      </c>
      <c r="AD155" s="72" t="b">
        <v>1</v>
      </c>
      <c r="AE155" s="72" t="b">
        <v>1</v>
      </c>
      <c r="AF155" s="72" t="b">
        <v>1</v>
      </c>
      <c r="AG155" s="72" t="b">
        <v>0</v>
      </c>
      <c r="AH155" s="72" t="b">
        <v>1</v>
      </c>
      <c r="AI155" s="72" t="b">
        <v>1</v>
      </c>
      <c r="AJ155" s="72" t="b">
        <v>1</v>
      </c>
      <c r="AK155" s="72" t="b">
        <v>1</v>
      </c>
      <c r="AL155" s="72" t="b">
        <v>1</v>
      </c>
      <c r="AM155" s="72" t="b">
        <v>1</v>
      </c>
      <c r="AN155" s="72" t="b">
        <v>0</v>
      </c>
      <c r="AO155" s="72" t="b">
        <v>0</v>
      </c>
      <c r="AP155" s="70"/>
      <c r="AQ155" s="54">
        <f t="shared" si="5"/>
        <v>6</v>
      </c>
    </row>
    <row r="156">
      <c r="A156" s="70" t="s">
        <v>607</v>
      </c>
      <c r="B156" s="70" t="s">
        <v>608</v>
      </c>
      <c r="C156" s="71" t="s">
        <v>609</v>
      </c>
      <c r="D156" s="70" t="s">
        <v>571</v>
      </c>
      <c r="E156" s="71">
        <f t="shared" si="1"/>
        <v>33</v>
      </c>
      <c r="F156" s="71">
        <f t="shared" si="2"/>
        <v>11</v>
      </c>
      <c r="G156" s="55">
        <f t="shared" si="3"/>
        <v>33.33333333</v>
      </c>
      <c r="H156" s="70"/>
      <c r="I156" s="72" t="b">
        <v>0</v>
      </c>
      <c r="J156" s="72" t="b">
        <v>0</v>
      </c>
      <c r="K156" s="72" t="b">
        <v>0</v>
      </c>
      <c r="L156" s="72" t="b">
        <v>0</v>
      </c>
      <c r="M156" s="72" t="b">
        <v>1</v>
      </c>
      <c r="N156" s="72" t="b">
        <v>1</v>
      </c>
      <c r="O156" s="72" t="b">
        <v>1</v>
      </c>
      <c r="P156" s="72" t="b">
        <v>1</v>
      </c>
      <c r="Q156" s="72" t="b">
        <v>0</v>
      </c>
      <c r="R156" s="72" t="b">
        <v>0</v>
      </c>
      <c r="S156" s="72" t="b">
        <v>0</v>
      </c>
      <c r="T156" s="72" t="b">
        <v>0</v>
      </c>
      <c r="U156" s="72" t="b">
        <v>0</v>
      </c>
      <c r="V156" s="72" t="b">
        <v>0</v>
      </c>
      <c r="W156" s="72" t="b">
        <v>0</v>
      </c>
      <c r="X156" s="72" t="b">
        <v>0</v>
      </c>
      <c r="Y156" s="72" t="b">
        <v>1</v>
      </c>
      <c r="Z156" s="72" t="b">
        <v>1</v>
      </c>
      <c r="AA156" s="72" t="b">
        <v>0</v>
      </c>
      <c r="AB156" s="72" t="b">
        <v>0</v>
      </c>
      <c r="AC156" s="72" t="b">
        <v>0</v>
      </c>
      <c r="AD156" s="72" t="b">
        <v>0</v>
      </c>
      <c r="AE156" s="72" t="b">
        <v>1</v>
      </c>
      <c r="AF156" s="72" t="b">
        <v>1</v>
      </c>
      <c r="AG156" s="72" t="b">
        <v>0</v>
      </c>
      <c r="AH156" s="72" t="b">
        <v>1</v>
      </c>
      <c r="AI156" s="72" t="b">
        <v>0</v>
      </c>
      <c r="AJ156" s="72" t="b">
        <v>0</v>
      </c>
      <c r="AK156" s="72" t="b">
        <v>0</v>
      </c>
      <c r="AL156" s="72" t="b">
        <v>0</v>
      </c>
      <c r="AM156" s="72" t="b">
        <v>0</v>
      </c>
      <c r="AN156" s="72" t="b">
        <v>1</v>
      </c>
      <c r="AO156" s="72" t="b">
        <v>1</v>
      </c>
      <c r="AP156" s="70"/>
      <c r="AQ156" s="54">
        <f t="shared" si="5"/>
        <v>3</v>
      </c>
    </row>
    <row r="157">
      <c r="A157" s="70" t="s">
        <v>610</v>
      </c>
      <c r="B157" s="70" t="s">
        <v>611</v>
      </c>
      <c r="C157" s="71" t="s">
        <v>612</v>
      </c>
      <c r="D157" s="70" t="s">
        <v>571</v>
      </c>
      <c r="E157" s="71">
        <f t="shared" si="1"/>
        <v>33</v>
      </c>
      <c r="F157" s="71">
        <f t="shared" si="2"/>
        <v>32</v>
      </c>
      <c r="G157" s="52">
        <f t="shared" si="3"/>
        <v>96.96969697</v>
      </c>
      <c r="H157" s="70"/>
      <c r="I157" s="72" t="b">
        <v>1</v>
      </c>
      <c r="J157" s="72" t="b">
        <v>1</v>
      </c>
      <c r="K157" s="72" t="b">
        <v>1</v>
      </c>
      <c r="L157" s="72" t="b">
        <v>1</v>
      </c>
      <c r="M157" s="72" t="b">
        <v>1</v>
      </c>
      <c r="N157" s="72" t="b">
        <v>1</v>
      </c>
      <c r="O157" s="72" t="b">
        <v>1</v>
      </c>
      <c r="P157" s="72" t="b">
        <v>1</v>
      </c>
      <c r="Q157" s="72" t="b">
        <v>1</v>
      </c>
      <c r="R157" s="72" t="b">
        <v>1</v>
      </c>
      <c r="S157" s="72" t="b">
        <v>1</v>
      </c>
      <c r="T157" s="72" t="b">
        <v>1</v>
      </c>
      <c r="U157" s="72" t="b">
        <v>1</v>
      </c>
      <c r="V157" s="72" t="b">
        <v>1</v>
      </c>
      <c r="W157" s="72" t="b">
        <v>1</v>
      </c>
      <c r="X157" s="72" t="b">
        <v>1</v>
      </c>
      <c r="Y157" s="72" t="b">
        <v>1</v>
      </c>
      <c r="Z157" s="72" t="b">
        <v>1</v>
      </c>
      <c r="AA157" s="72" t="b">
        <v>1</v>
      </c>
      <c r="AB157" s="72" t="b">
        <v>0</v>
      </c>
      <c r="AC157" s="72" t="b">
        <v>1</v>
      </c>
      <c r="AD157" s="72" t="b">
        <v>1</v>
      </c>
      <c r="AE157" s="72" t="b">
        <v>1</v>
      </c>
      <c r="AF157" s="72" t="b">
        <v>1</v>
      </c>
      <c r="AG157" s="72" t="b">
        <v>1</v>
      </c>
      <c r="AH157" s="72" t="b">
        <v>1</v>
      </c>
      <c r="AI157" s="72" t="b">
        <v>1</v>
      </c>
      <c r="AJ157" s="72" t="b">
        <v>1</v>
      </c>
      <c r="AK157" s="72" t="b">
        <v>1</v>
      </c>
      <c r="AL157" s="72" t="b">
        <v>1</v>
      </c>
      <c r="AM157" s="72" t="b">
        <v>1</v>
      </c>
      <c r="AN157" s="72" t="b">
        <v>1</v>
      </c>
      <c r="AO157" s="72" t="b">
        <v>1</v>
      </c>
      <c r="AP157" s="70"/>
      <c r="AQ157" s="54">
        <f t="shared" si="5"/>
        <v>9</v>
      </c>
    </row>
    <row r="158">
      <c r="A158" s="70" t="s">
        <v>613</v>
      </c>
      <c r="B158" s="70"/>
      <c r="C158" s="71" t="s">
        <v>614</v>
      </c>
      <c r="D158" s="70" t="s">
        <v>571</v>
      </c>
      <c r="E158" s="71">
        <f t="shared" si="1"/>
        <v>33</v>
      </c>
      <c r="F158" s="71">
        <f t="shared" si="2"/>
        <v>24</v>
      </c>
      <c r="G158" s="52">
        <f t="shared" si="3"/>
        <v>72.72727273</v>
      </c>
      <c r="H158" s="70"/>
      <c r="I158" s="72" t="b">
        <v>1</v>
      </c>
      <c r="J158" s="72" t="b">
        <v>1</v>
      </c>
      <c r="K158" s="72" t="b">
        <v>1</v>
      </c>
      <c r="L158" s="72" t="b">
        <v>1</v>
      </c>
      <c r="M158" s="72" t="b">
        <v>0</v>
      </c>
      <c r="N158" s="72" t="b">
        <v>1</v>
      </c>
      <c r="O158" s="72" t="b">
        <v>1</v>
      </c>
      <c r="P158" s="72" t="b">
        <v>1</v>
      </c>
      <c r="Q158" s="72" t="b">
        <v>1</v>
      </c>
      <c r="R158" s="72" t="b">
        <v>0</v>
      </c>
      <c r="S158" s="72" t="b">
        <v>0</v>
      </c>
      <c r="T158" s="72" t="b">
        <v>1</v>
      </c>
      <c r="U158" s="72" t="b">
        <v>1</v>
      </c>
      <c r="V158" s="72" t="b">
        <v>1</v>
      </c>
      <c r="W158" s="72" t="b">
        <v>1</v>
      </c>
      <c r="X158" s="72" t="b">
        <v>1</v>
      </c>
      <c r="Y158" s="72" t="b">
        <v>1</v>
      </c>
      <c r="Z158" s="72" t="b">
        <v>1</v>
      </c>
      <c r="AA158" s="72" t="b">
        <v>1</v>
      </c>
      <c r="AB158" s="72" t="b">
        <v>0</v>
      </c>
      <c r="AC158" s="72" t="b">
        <v>0</v>
      </c>
      <c r="AD158" s="72" t="b">
        <v>0</v>
      </c>
      <c r="AE158" s="72" t="b">
        <v>1</v>
      </c>
      <c r="AF158" s="72" t="b">
        <v>1</v>
      </c>
      <c r="AG158" s="72" t="b">
        <v>0</v>
      </c>
      <c r="AH158" s="72" t="b">
        <v>1</v>
      </c>
      <c r="AI158" s="72" t="b">
        <v>1</v>
      </c>
      <c r="AJ158" s="72" t="b">
        <v>0</v>
      </c>
      <c r="AK158" s="72" t="b">
        <v>1</v>
      </c>
      <c r="AL158" s="72" t="b">
        <v>0</v>
      </c>
      <c r="AM158" s="72" t="b">
        <v>1</v>
      </c>
      <c r="AN158" s="72" t="b">
        <v>1</v>
      </c>
      <c r="AO158" s="72" t="b">
        <v>1</v>
      </c>
      <c r="AP158" s="70"/>
      <c r="AQ158" s="54">
        <f t="shared" si="5"/>
        <v>6</v>
      </c>
    </row>
    <row r="159">
      <c r="A159" s="70" t="s">
        <v>615</v>
      </c>
      <c r="B159" s="70"/>
      <c r="C159" s="70"/>
      <c r="D159" s="70" t="s">
        <v>571</v>
      </c>
      <c r="E159" s="71">
        <f t="shared" si="1"/>
        <v>33</v>
      </c>
      <c r="F159" s="71">
        <f t="shared" si="2"/>
        <v>4</v>
      </c>
      <c r="G159" s="55">
        <f t="shared" si="3"/>
        <v>12.12121212</v>
      </c>
      <c r="H159" s="70"/>
      <c r="I159" s="72" t="b">
        <v>0</v>
      </c>
      <c r="J159" s="72" t="b">
        <v>0</v>
      </c>
      <c r="K159" s="72" t="b">
        <v>0</v>
      </c>
      <c r="L159" s="72" t="b">
        <v>0</v>
      </c>
      <c r="M159" s="72" t="b">
        <v>0</v>
      </c>
      <c r="N159" s="72" t="b">
        <v>0</v>
      </c>
      <c r="O159" s="72" t="b">
        <v>0</v>
      </c>
      <c r="P159" s="72" t="b">
        <v>0</v>
      </c>
      <c r="Q159" s="72" t="b">
        <v>0</v>
      </c>
      <c r="R159" s="72" t="b">
        <v>0</v>
      </c>
      <c r="S159" s="72" t="b">
        <v>0</v>
      </c>
      <c r="T159" s="72" t="b">
        <v>0</v>
      </c>
      <c r="U159" s="72" t="b">
        <v>0</v>
      </c>
      <c r="V159" s="72" t="b">
        <v>0</v>
      </c>
      <c r="W159" s="72" t="b">
        <v>0</v>
      </c>
      <c r="X159" s="72" t="b">
        <v>0</v>
      </c>
      <c r="Y159" s="72" t="b">
        <v>0</v>
      </c>
      <c r="Z159" s="72" t="b">
        <v>0</v>
      </c>
      <c r="AA159" s="72" t="b">
        <v>0</v>
      </c>
      <c r="AB159" s="72" t="b">
        <v>0</v>
      </c>
      <c r="AC159" s="72" t="b">
        <v>0</v>
      </c>
      <c r="AD159" s="72" t="b">
        <v>0</v>
      </c>
      <c r="AE159" s="72" t="b">
        <v>1</v>
      </c>
      <c r="AF159" s="72" t="b">
        <v>1</v>
      </c>
      <c r="AG159" s="72" t="b">
        <v>0</v>
      </c>
      <c r="AH159" s="72" t="b">
        <v>0</v>
      </c>
      <c r="AI159" s="72" t="b">
        <v>1</v>
      </c>
      <c r="AJ159" s="72" t="b">
        <v>0</v>
      </c>
      <c r="AK159" s="72" t="b">
        <v>1</v>
      </c>
      <c r="AL159" s="72" t="b">
        <v>0</v>
      </c>
      <c r="AM159" s="72" t="b">
        <v>0</v>
      </c>
      <c r="AN159" s="72" t="b">
        <v>0</v>
      </c>
      <c r="AO159" s="72" t="b">
        <v>0</v>
      </c>
      <c r="AP159" s="70"/>
      <c r="AQ159" s="54">
        <f t="shared" si="5"/>
        <v>2</v>
      </c>
    </row>
    <row r="160">
      <c r="A160" s="70" t="s">
        <v>616</v>
      </c>
      <c r="B160" s="70" t="s">
        <v>617</v>
      </c>
      <c r="C160" s="71" t="s">
        <v>618</v>
      </c>
      <c r="D160" s="70" t="s">
        <v>571</v>
      </c>
      <c r="E160" s="71">
        <f t="shared" si="1"/>
        <v>33</v>
      </c>
      <c r="F160" s="71">
        <f t="shared" si="2"/>
        <v>21</v>
      </c>
      <c r="G160" s="55">
        <f t="shared" si="3"/>
        <v>63.63636364</v>
      </c>
      <c r="H160" s="70"/>
      <c r="I160" s="72" t="b">
        <v>1</v>
      </c>
      <c r="J160" s="72" t="b">
        <v>1</v>
      </c>
      <c r="K160" s="72" t="b">
        <v>1</v>
      </c>
      <c r="L160" s="72" t="b">
        <v>1</v>
      </c>
      <c r="M160" s="72" t="b">
        <v>1</v>
      </c>
      <c r="N160" s="72" t="b">
        <v>1</v>
      </c>
      <c r="O160" s="72" t="b">
        <v>0</v>
      </c>
      <c r="P160" s="72" t="b">
        <v>0</v>
      </c>
      <c r="Q160" s="72" t="b">
        <v>1</v>
      </c>
      <c r="R160" s="72" t="b">
        <v>1</v>
      </c>
      <c r="S160" s="72" t="b">
        <v>0</v>
      </c>
      <c r="T160" s="72" t="b">
        <v>0</v>
      </c>
      <c r="U160" s="72" t="b">
        <v>1</v>
      </c>
      <c r="V160" s="72" t="b">
        <v>0</v>
      </c>
      <c r="W160" s="72" t="b">
        <v>1</v>
      </c>
      <c r="X160" s="72" t="b">
        <v>1</v>
      </c>
      <c r="Y160" s="72" t="b">
        <v>1</v>
      </c>
      <c r="Z160" s="72" t="b">
        <v>1</v>
      </c>
      <c r="AA160" s="72" t="b">
        <v>0</v>
      </c>
      <c r="AB160" s="72" t="b">
        <v>0</v>
      </c>
      <c r="AC160" s="72" t="b">
        <v>0</v>
      </c>
      <c r="AD160" s="72" t="b">
        <v>0</v>
      </c>
      <c r="AE160" s="72" t="b">
        <v>1</v>
      </c>
      <c r="AF160" s="72" t="b">
        <v>1</v>
      </c>
      <c r="AG160" s="72" t="b">
        <v>0</v>
      </c>
      <c r="AH160" s="72" t="b">
        <v>0</v>
      </c>
      <c r="AI160" s="72" t="b">
        <v>1</v>
      </c>
      <c r="AJ160" s="72" t="b">
        <v>1</v>
      </c>
      <c r="AK160" s="72" t="b">
        <v>1</v>
      </c>
      <c r="AL160" s="72" t="b">
        <v>0</v>
      </c>
      <c r="AM160" s="72" t="b">
        <v>1</v>
      </c>
      <c r="AN160" s="72" t="b">
        <v>1</v>
      </c>
      <c r="AO160" s="72" t="b">
        <v>1</v>
      </c>
      <c r="AP160" s="70"/>
      <c r="AQ160" s="54">
        <f t="shared" si="5"/>
        <v>6</v>
      </c>
    </row>
    <row r="161">
      <c r="A161" s="70" t="s">
        <v>619</v>
      </c>
      <c r="B161" s="70"/>
      <c r="C161" s="71" t="s">
        <v>620</v>
      </c>
      <c r="D161" s="70" t="s">
        <v>571</v>
      </c>
      <c r="E161" s="71">
        <f t="shared" si="1"/>
        <v>33</v>
      </c>
      <c r="F161" s="71">
        <f t="shared" si="2"/>
        <v>3</v>
      </c>
      <c r="G161" s="55">
        <f t="shared" si="3"/>
        <v>9.090909091</v>
      </c>
      <c r="H161" s="70"/>
      <c r="I161" s="72" t="b">
        <v>0</v>
      </c>
      <c r="J161" s="72" t="b">
        <v>0</v>
      </c>
      <c r="K161" s="72" t="b">
        <v>0</v>
      </c>
      <c r="L161" s="72" t="b">
        <v>0</v>
      </c>
      <c r="M161" s="72" t="b">
        <v>0</v>
      </c>
      <c r="N161" s="72" t="b">
        <v>0</v>
      </c>
      <c r="O161" s="72" t="b">
        <v>0</v>
      </c>
      <c r="P161" s="72" t="b">
        <v>0</v>
      </c>
      <c r="Q161" s="72" t="b">
        <v>0</v>
      </c>
      <c r="R161" s="72" t="b">
        <v>0</v>
      </c>
      <c r="S161" s="72" t="b">
        <v>0</v>
      </c>
      <c r="T161" s="72" t="b">
        <v>0</v>
      </c>
      <c r="U161" s="72" t="b">
        <v>0</v>
      </c>
      <c r="V161" s="72" t="b">
        <v>0</v>
      </c>
      <c r="W161" s="72" t="b">
        <v>0</v>
      </c>
      <c r="X161" s="72" t="b">
        <v>0</v>
      </c>
      <c r="Y161" s="72" t="b">
        <v>0</v>
      </c>
      <c r="Z161" s="72" t="b">
        <v>0</v>
      </c>
      <c r="AA161" s="72" t="b">
        <v>0</v>
      </c>
      <c r="AB161" s="72" t="b">
        <v>0</v>
      </c>
      <c r="AC161" s="72" t="b">
        <v>0</v>
      </c>
      <c r="AD161" s="72" t="b">
        <v>0</v>
      </c>
      <c r="AE161" s="72" t="b">
        <v>0</v>
      </c>
      <c r="AF161" s="72" t="b">
        <v>0</v>
      </c>
      <c r="AG161" s="72" t="b">
        <v>0</v>
      </c>
      <c r="AH161" s="72" t="b">
        <v>0</v>
      </c>
      <c r="AI161" s="72" t="b">
        <v>0</v>
      </c>
      <c r="AJ161" s="72" t="b">
        <v>0</v>
      </c>
      <c r="AK161" s="72" t="b">
        <v>0</v>
      </c>
      <c r="AL161" s="72" t="b">
        <v>1</v>
      </c>
      <c r="AM161" s="72" t="b">
        <v>1</v>
      </c>
      <c r="AN161" s="72" t="b">
        <v>1</v>
      </c>
      <c r="AO161" s="72" t="b">
        <v>0</v>
      </c>
      <c r="AP161" s="70"/>
      <c r="AQ161" s="54">
        <f t="shared" si="5"/>
        <v>3</v>
      </c>
    </row>
    <row r="162">
      <c r="A162" s="70" t="s">
        <v>621</v>
      </c>
      <c r="B162" s="70" t="s">
        <v>622</v>
      </c>
      <c r="C162" s="71">
        <v>8.218960099E9</v>
      </c>
      <c r="D162" s="70" t="s">
        <v>571</v>
      </c>
      <c r="E162" s="71">
        <f t="shared" si="1"/>
        <v>33</v>
      </c>
      <c r="F162" s="71">
        <f t="shared" si="2"/>
        <v>22</v>
      </c>
      <c r="G162" s="55">
        <f t="shared" si="3"/>
        <v>66.66666667</v>
      </c>
      <c r="H162" s="70"/>
      <c r="I162" s="72" t="b">
        <v>1</v>
      </c>
      <c r="J162" s="72" t="b">
        <v>1</v>
      </c>
      <c r="K162" s="72" t="b">
        <v>1</v>
      </c>
      <c r="L162" s="72" t="b">
        <v>1</v>
      </c>
      <c r="M162" s="72" t="b">
        <v>1</v>
      </c>
      <c r="N162" s="72" t="b">
        <v>1</v>
      </c>
      <c r="O162" s="72" t="b">
        <v>1</v>
      </c>
      <c r="P162" s="72" t="b">
        <v>1</v>
      </c>
      <c r="Q162" s="72" t="b">
        <v>0</v>
      </c>
      <c r="R162" s="72" t="b">
        <v>1</v>
      </c>
      <c r="S162" s="72" t="b">
        <v>1</v>
      </c>
      <c r="T162" s="72" t="b">
        <v>1</v>
      </c>
      <c r="U162" s="72" t="b">
        <v>0</v>
      </c>
      <c r="V162" s="72" t="b">
        <v>1</v>
      </c>
      <c r="W162" s="72" t="b">
        <v>1</v>
      </c>
      <c r="X162" s="72" t="b">
        <v>1</v>
      </c>
      <c r="Y162" s="72" t="b">
        <v>0</v>
      </c>
      <c r="Z162" s="72" t="b">
        <v>1</v>
      </c>
      <c r="AA162" s="72" t="b">
        <v>1</v>
      </c>
      <c r="AB162" s="72" t="b">
        <v>0</v>
      </c>
      <c r="AC162" s="72" t="b">
        <v>0</v>
      </c>
      <c r="AD162" s="72" t="b">
        <v>0</v>
      </c>
      <c r="AE162" s="72" t="b">
        <v>1</v>
      </c>
      <c r="AF162" s="72" t="b">
        <v>1</v>
      </c>
      <c r="AG162" s="72" t="b">
        <v>1</v>
      </c>
      <c r="AH162" s="72" t="b">
        <v>1</v>
      </c>
      <c r="AI162" s="72" t="b">
        <v>0</v>
      </c>
      <c r="AJ162" s="72" t="b">
        <v>1</v>
      </c>
      <c r="AK162" s="72" t="b">
        <v>1</v>
      </c>
      <c r="AL162" s="72" t="b">
        <v>0</v>
      </c>
      <c r="AM162" s="72" t="b">
        <v>0</v>
      </c>
      <c r="AN162" s="72" t="b">
        <v>0</v>
      </c>
      <c r="AO162" s="72" t="b">
        <v>0</v>
      </c>
      <c r="AP162" s="70"/>
      <c r="AQ162" s="54">
        <f t="shared" si="5"/>
        <v>4</v>
      </c>
    </row>
    <row r="163">
      <c r="A163" s="70" t="s">
        <v>623</v>
      </c>
      <c r="B163" s="70"/>
      <c r="C163" s="71" t="s">
        <v>624</v>
      </c>
      <c r="D163" s="70" t="s">
        <v>571</v>
      </c>
      <c r="E163" s="71">
        <f t="shared" si="1"/>
        <v>33</v>
      </c>
      <c r="F163" s="71">
        <f t="shared" si="2"/>
        <v>30</v>
      </c>
      <c r="G163" s="52">
        <f t="shared" si="3"/>
        <v>90.90909091</v>
      </c>
      <c r="H163" s="70"/>
      <c r="I163" s="72" t="b">
        <v>1</v>
      </c>
      <c r="J163" s="72" t="b">
        <v>1</v>
      </c>
      <c r="K163" s="72" t="b">
        <v>1</v>
      </c>
      <c r="L163" s="72" t="b">
        <v>1</v>
      </c>
      <c r="M163" s="72" t="b">
        <v>1</v>
      </c>
      <c r="N163" s="72" t="b">
        <v>1</v>
      </c>
      <c r="O163" s="72" t="b">
        <v>1</v>
      </c>
      <c r="P163" s="72" t="b">
        <v>1</v>
      </c>
      <c r="Q163" s="72" t="b">
        <v>1</v>
      </c>
      <c r="R163" s="72" t="b">
        <v>1</v>
      </c>
      <c r="S163" s="72" t="b">
        <v>1</v>
      </c>
      <c r="T163" s="72" t="b">
        <v>1</v>
      </c>
      <c r="U163" s="72" t="b">
        <v>0</v>
      </c>
      <c r="V163" s="72" t="b">
        <v>0</v>
      </c>
      <c r="W163" s="72" t="b">
        <v>1</v>
      </c>
      <c r="X163" s="72" t="b">
        <v>1</v>
      </c>
      <c r="Y163" s="72" t="b">
        <v>1</v>
      </c>
      <c r="Z163" s="72" t="b">
        <v>1</v>
      </c>
      <c r="AA163" s="72" t="b">
        <v>1</v>
      </c>
      <c r="AB163" s="72" t="b">
        <v>0</v>
      </c>
      <c r="AC163" s="72" t="b">
        <v>1</v>
      </c>
      <c r="AD163" s="72" t="b">
        <v>1</v>
      </c>
      <c r="AE163" s="72" t="b">
        <v>1</v>
      </c>
      <c r="AF163" s="72" t="b">
        <v>1</v>
      </c>
      <c r="AG163" s="72" t="b">
        <v>1</v>
      </c>
      <c r="AH163" s="72" t="b">
        <v>1</v>
      </c>
      <c r="AI163" s="72" t="b">
        <v>1</v>
      </c>
      <c r="AJ163" s="72" t="b">
        <v>1</v>
      </c>
      <c r="AK163" s="72" t="b">
        <v>1</v>
      </c>
      <c r="AL163" s="72" t="b">
        <v>1</v>
      </c>
      <c r="AM163" s="72" t="b">
        <v>1</v>
      </c>
      <c r="AN163" s="72" t="b">
        <v>1</v>
      </c>
      <c r="AO163" s="72" t="b">
        <v>1</v>
      </c>
      <c r="AP163" s="70"/>
      <c r="AQ163" s="54">
        <f t="shared" si="5"/>
        <v>9</v>
      </c>
    </row>
    <row r="164">
      <c r="A164" s="70" t="s">
        <v>625</v>
      </c>
      <c r="B164" s="70"/>
      <c r="C164" s="71">
        <v>7.838735453E9</v>
      </c>
      <c r="D164" s="70" t="s">
        <v>571</v>
      </c>
      <c r="E164" s="71">
        <f t="shared" si="1"/>
        <v>33</v>
      </c>
      <c r="F164" s="71">
        <f t="shared" si="2"/>
        <v>26</v>
      </c>
      <c r="G164" s="52">
        <f t="shared" si="3"/>
        <v>78.78787879</v>
      </c>
      <c r="H164" s="70"/>
      <c r="I164" s="72" t="b">
        <v>1</v>
      </c>
      <c r="J164" s="72" t="b">
        <v>1</v>
      </c>
      <c r="K164" s="72" t="b">
        <v>1</v>
      </c>
      <c r="L164" s="72" t="b">
        <v>1</v>
      </c>
      <c r="M164" s="72" t="b">
        <v>1</v>
      </c>
      <c r="N164" s="72" t="b">
        <v>1</v>
      </c>
      <c r="O164" s="72" t="b">
        <v>1</v>
      </c>
      <c r="P164" s="72" t="b">
        <v>1</v>
      </c>
      <c r="Q164" s="72" t="b">
        <v>0</v>
      </c>
      <c r="R164" s="72" t="b">
        <v>1</v>
      </c>
      <c r="S164" s="72" t="b">
        <v>1</v>
      </c>
      <c r="T164" s="72" t="b">
        <v>1</v>
      </c>
      <c r="U164" s="72" t="b">
        <v>0</v>
      </c>
      <c r="V164" s="72" t="b">
        <v>1</v>
      </c>
      <c r="W164" s="72" t="b">
        <v>1</v>
      </c>
      <c r="X164" s="72" t="b">
        <v>1</v>
      </c>
      <c r="Y164" s="72" t="b">
        <v>1</v>
      </c>
      <c r="Z164" s="72" t="b">
        <v>1</v>
      </c>
      <c r="AA164" s="72" t="b">
        <v>1</v>
      </c>
      <c r="AB164" s="72" t="b">
        <v>0</v>
      </c>
      <c r="AC164" s="72" t="b">
        <v>1</v>
      </c>
      <c r="AD164" s="72" t="b">
        <v>1</v>
      </c>
      <c r="AE164" s="72" t="b">
        <v>1</v>
      </c>
      <c r="AF164" s="72" t="b">
        <v>1</v>
      </c>
      <c r="AG164" s="72" t="b">
        <v>1</v>
      </c>
      <c r="AH164" s="72" t="b">
        <v>1</v>
      </c>
      <c r="AI164" s="72" t="b">
        <v>1</v>
      </c>
      <c r="AJ164" s="72" t="b">
        <v>1</v>
      </c>
      <c r="AK164" s="72" t="b">
        <v>0</v>
      </c>
      <c r="AL164" s="72" t="b">
        <v>1</v>
      </c>
      <c r="AM164" s="72" t="b">
        <v>0</v>
      </c>
      <c r="AN164" s="72" t="b">
        <v>0</v>
      </c>
      <c r="AO164" s="72" t="b">
        <v>0</v>
      </c>
      <c r="AP164" s="70"/>
      <c r="AQ164" s="54">
        <f t="shared" si="5"/>
        <v>5</v>
      </c>
    </row>
    <row r="165">
      <c r="A165" s="70" t="s">
        <v>626</v>
      </c>
      <c r="B165" s="70"/>
      <c r="C165" s="71">
        <v>9.310878793E9</v>
      </c>
      <c r="D165" s="70" t="s">
        <v>571</v>
      </c>
      <c r="E165" s="71">
        <f t="shared" si="1"/>
        <v>33</v>
      </c>
      <c r="F165" s="71">
        <f t="shared" si="2"/>
        <v>1</v>
      </c>
      <c r="G165" s="55">
        <f t="shared" si="3"/>
        <v>3.03030303</v>
      </c>
      <c r="H165" s="70"/>
      <c r="I165" s="72" t="b">
        <v>0</v>
      </c>
      <c r="J165" s="72" t="b">
        <v>1</v>
      </c>
      <c r="K165" s="72" t="b">
        <v>0</v>
      </c>
      <c r="L165" s="72" t="b">
        <v>0</v>
      </c>
      <c r="M165" s="72" t="b">
        <v>0</v>
      </c>
      <c r="N165" s="72" t="b">
        <v>0</v>
      </c>
      <c r="O165" s="72" t="b">
        <v>0</v>
      </c>
      <c r="P165" s="72" t="b">
        <v>0</v>
      </c>
      <c r="Q165" s="72" t="b">
        <v>0</v>
      </c>
      <c r="R165" s="72" t="b">
        <v>0</v>
      </c>
      <c r="S165" s="72" t="b">
        <v>0</v>
      </c>
      <c r="T165" s="72" t="b">
        <v>0</v>
      </c>
      <c r="U165" s="72" t="b">
        <v>0</v>
      </c>
      <c r="V165" s="72" t="b">
        <v>0</v>
      </c>
      <c r="W165" s="72" t="b">
        <v>0</v>
      </c>
      <c r="X165" s="72" t="b">
        <v>0</v>
      </c>
      <c r="Y165" s="72" t="b">
        <v>0</v>
      </c>
      <c r="Z165" s="72" t="b">
        <v>0</v>
      </c>
      <c r="AA165" s="72" t="b">
        <v>0</v>
      </c>
      <c r="AB165" s="72" t="b">
        <v>0</v>
      </c>
      <c r="AC165" s="72" t="b">
        <v>0</v>
      </c>
      <c r="AD165" s="72" t="b">
        <v>0</v>
      </c>
      <c r="AE165" s="72" t="b">
        <v>0</v>
      </c>
      <c r="AF165" s="72" t="b">
        <v>0</v>
      </c>
      <c r="AG165" s="72" t="b">
        <v>0</v>
      </c>
      <c r="AH165" s="72" t="b">
        <v>0</v>
      </c>
      <c r="AI165" s="72" t="b">
        <v>0</v>
      </c>
      <c r="AJ165" s="72" t="b">
        <v>0</v>
      </c>
      <c r="AK165" s="72" t="b">
        <v>0</v>
      </c>
      <c r="AL165" s="72" t="b">
        <v>0</v>
      </c>
      <c r="AM165" s="72" t="b">
        <v>0</v>
      </c>
      <c r="AN165" s="72" t="b">
        <v>0</v>
      </c>
      <c r="AO165" s="72" t="b">
        <v>0</v>
      </c>
      <c r="AP165" s="70"/>
      <c r="AQ165" s="49"/>
    </row>
    <row r="166">
      <c r="A166" s="70" t="s">
        <v>627</v>
      </c>
      <c r="B166" s="70"/>
      <c r="C166" s="71" t="s">
        <v>628</v>
      </c>
      <c r="D166" s="70" t="s">
        <v>571</v>
      </c>
      <c r="E166" s="71">
        <f t="shared" si="1"/>
        <v>33</v>
      </c>
      <c r="F166" s="71">
        <f t="shared" si="2"/>
        <v>21</v>
      </c>
      <c r="G166" s="55">
        <f t="shared" si="3"/>
        <v>63.63636364</v>
      </c>
      <c r="H166" s="70"/>
      <c r="I166" s="72" t="b">
        <v>1</v>
      </c>
      <c r="J166" s="72" t="b">
        <v>0</v>
      </c>
      <c r="K166" s="72" t="b">
        <v>0</v>
      </c>
      <c r="L166" s="72" t="b">
        <v>1</v>
      </c>
      <c r="M166" s="72" t="b">
        <v>1</v>
      </c>
      <c r="N166" s="72" t="b">
        <v>1</v>
      </c>
      <c r="O166" s="72" t="b">
        <v>0</v>
      </c>
      <c r="P166" s="72" t="b">
        <v>0</v>
      </c>
      <c r="Q166" s="72" t="b">
        <v>0</v>
      </c>
      <c r="R166" s="72" t="b">
        <v>0</v>
      </c>
      <c r="S166" s="72" t="b">
        <v>0</v>
      </c>
      <c r="T166" s="72" t="b">
        <v>0</v>
      </c>
      <c r="U166" s="72" t="b">
        <v>0</v>
      </c>
      <c r="V166" s="72" t="b">
        <v>1</v>
      </c>
      <c r="W166" s="72" t="b">
        <v>1</v>
      </c>
      <c r="X166" s="72" t="b">
        <v>1</v>
      </c>
      <c r="Y166" s="72" t="b">
        <v>1</v>
      </c>
      <c r="Z166" s="72" t="b">
        <v>0</v>
      </c>
      <c r="AA166" s="72" t="b">
        <v>1</v>
      </c>
      <c r="AB166" s="72" t="b">
        <v>0</v>
      </c>
      <c r="AC166" s="72" t="b">
        <v>1</v>
      </c>
      <c r="AD166" s="72" t="b">
        <v>1</v>
      </c>
      <c r="AE166" s="72" t="b">
        <v>0</v>
      </c>
      <c r="AF166" s="72" t="b">
        <v>1</v>
      </c>
      <c r="AG166" s="72" t="b">
        <v>1</v>
      </c>
      <c r="AH166" s="72" t="b">
        <v>1</v>
      </c>
      <c r="AI166" s="72" t="b">
        <v>1</v>
      </c>
      <c r="AJ166" s="72" t="b">
        <v>1</v>
      </c>
      <c r="AK166" s="72" t="b">
        <v>1</v>
      </c>
      <c r="AL166" s="72" t="b">
        <v>1</v>
      </c>
      <c r="AM166" s="72" t="b">
        <v>1</v>
      </c>
      <c r="AN166" s="72" t="b">
        <v>1</v>
      </c>
      <c r="AO166" s="72" t="b">
        <v>1</v>
      </c>
      <c r="AP166" s="70"/>
      <c r="AQ166" s="54">
        <f t="shared" ref="AQ166:AQ173" si="6">COUNTIF(AG166:AO166,TRUE)</f>
        <v>9</v>
      </c>
    </row>
    <row r="167">
      <c r="A167" s="70" t="s">
        <v>629</v>
      </c>
      <c r="B167" s="70" t="s">
        <v>630</v>
      </c>
      <c r="C167" s="71" t="s">
        <v>631</v>
      </c>
      <c r="D167" s="70" t="s">
        <v>571</v>
      </c>
      <c r="E167" s="71">
        <f t="shared" si="1"/>
        <v>33</v>
      </c>
      <c r="F167" s="71">
        <f t="shared" si="2"/>
        <v>26</v>
      </c>
      <c r="G167" s="52">
        <f t="shared" si="3"/>
        <v>78.78787879</v>
      </c>
      <c r="H167" s="70"/>
      <c r="I167" s="72" t="b">
        <v>1</v>
      </c>
      <c r="J167" s="72" t="b">
        <v>1</v>
      </c>
      <c r="K167" s="72" t="b">
        <v>1</v>
      </c>
      <c r="L167" s="72" t="b">
        <v>1</v>
      </c>
      <c r="M167" s="72" t="b">
        <v>1</v>
      </c>
      <c r="N167" s="72" t="b">
        <v>0</v>
      </c>
      <c r="O167" s="72" t="b">
        <v>0</v>
      </c>
      <c r="P167" s="72" t="b">
        <v>0</v>
      </c>
      <c r="Q167" s="72" t="b">
        <v>0</v>
      </c>
      <c r="R167" s="72" t="b">
        <v>1</v>
      </c>
      <c r="S167" s="72" t="b">
        <v>0</v>
      </c>
      <c r="T167" s="72" t="b">
        <v>1</v>
      </c>
      <c r="U167" s="72" t="b">
        <v>1</v>
      </c>
      <c r="V167" s="72" t="b">
        <v>1</v>
      </c>
      <c r="W167" s="72" t="b">
        <v>0</v>
      </c>
      <c r="X167" s="72" t="b">
        <v>1</v>
      </c>
      <c r="Y167" s="72" t="b">
        <v>1</v>
      </c>
      <c r="Z167" s="72" t="b">
        <v>1</v>
      </c>
      <c r="AA167" s="72" t="b">
        <v>1</v>
      </c>
      <c r="AB167" s="72" t="b">
        <v>1</v>
      </c>
      <c r="AC167" s="72" t="b">
        <v>1</v>
      </c>
      <c r="AD167" s="72" t="b">
        <v>1</v>
      </c>
      <c r="AE167" s="72" t="b">
        <v>1</v>
      </c>
      <c r="AF167" s="72" t="b">
        <v>1</v>
      </c>
      <c r="AG167" s="72" t="b">
        <v>1</v>
      </c>
      <c r="AH167" s="72" t="b">
        <v>1</v>
      </c>
      <c r="AI167" s="72" t="b">
        <v>1</v>
      </c>
      <c r="AJ167" s="72" t="b">
        <v>1</v>
      </c>
      <c r="AK167" s="72" t="b">
        <v>0</v>
      </c>
      <c r="AL167" s="72" t="b">
        <v>1</v>
      </c>
      <c r="AM167" s="72" t="b">
        <v>1</v>
      </c>
      <c r="AN167" s="72" t="b">
        <v>1</v>
      </c>
      <c r="AO167" s="72" t="b">
        <v>1</v>
      </c>
      <c r="AP167" s="70"/>
      <c r="AQ167" s="54">
        <f t="shared" si="6"/>
        <v>8</v>
      </c>
    </row>
    <row r="168">
      <c r="A168" s="70" t="s">
        <v>632</v>
      </c>
      <c r="B168" s="70" t="s">
        <v>633</v>
      </c>
      <c r="C168" s="71" t="s">
        <v>634</v>
      </c>
      <c r="D168" s="70" t="s">
        <v>571</v>
      </c>
      <c r="E168" s="71">
        <f t="shared" si="1"/>
        <v>33</v>
      </c>
      <c r="F168" s="71">
        <f t="shared" si="2"/>
        <v>25</v>
      </c>
      <c r="G168" s="52">
        <f t="shared" si="3"/>
        <v>75.75757576</v>
      </c>
      <c r="H168" s="70"/>
      <c r="I168" s="72" t="b">
        <v>1</v>
      </c>
      <c r="J168" s="72" t="b">
        <v>1</v>
      </c>
      <c r="K168" s="72" t="b">
        <v>1</v>
      </c>
      <c r="L168" s="72" t="b">
        <v>0</v>
      </c>
      <c r="M168" s="72" t="b">
        <v>1</v>
      </c>
      <c r="N168" s="72" t="b">
        <v>1</v>
      </c>
      <c r="O168" s="72" t="b">
        <v>1</v>
      </c>
      <c r="P168" s="72" t="b">
        <v>1</v>
      </c>
      <c r="Q168" s="72" t="b">
        <v>1</v>
      </c>
      <c r="R168" s="72" t="b">
        <v>1</v>
      </c>
      <c r="S168" s="72" t="b">
        <v>1</v>
      </c>
      <c r="T168" s="72" t="b">
        <v>0</v>
      </c>
      <c r="U168" s="72" t="b">
        <v>0</v>
      </c>
      <c r="V168" s="72" t="b">
        <v>1</v>
      </c>
      <c r="W168" s="72" t="b">
        <v>0</v>
      </c>
      <c r="X168" s="72" t="b">
        <v>1</v>
      </c>
      <c r="Y168" s="72" t="b">
        <v>0</v>
      </c>
      <c r="Z168" s="72" t="b">
        <v>1</v>
      </c>
      <c r="AA168" s="72" t="b">
        <v>1</v>
      </c>
      <c r="AB168" s="72" t="b">
        <v>0</v>
      </c>
      <c r="AC168" s="72" t="b">
        <v>1</v>
      </c>
      <c r="AD168" s="72" t="b">
        <v>1</v>
      </c>
      <c r="AE168" s="72" t="b">
        <v>1</v>
      </c>
      <c r="AF168" s="72" t="b">
        <v>1</v>
      </c>
      <c r="AG168" s="72" t="b">
        <v>0</v>
      </c>
      <c r="AH168" s="72" t="b">
        <v>1</v>
      </c>
      <c r="AI168" s="72" t="b">
        <v>1</v>
      </c>
      <c r="AJ168" s="72" t="b">
        <v>0</v>
      </c>
      <c r="AK168" s="72" t="b">
        <v>1</v>
      </c>
      <c r="AL168" s="72" t="b">
        <v>1</v>
      </c>
      <c r="AM168" s="72" t="b">
        <v>1</v>
      </c>
      <c r="AN168" s="72" t="b">
        <v>1</v>
      </c>
      <c r="AO168" s="72" t="b">
        <v>1</v>
      </c>
      <c r="AP168" s="70"/>
      <c r="AQ168" s="54">
        <f t="shared" si="6"/>
        <v>7</v>
      </c>
    </row>
    <row r="169">
      <c r="A169" s="70" t="s">
        <v>635</v>
      </c>
      <c r="B169" s="70" t="s">
        <v>636</v>
      </c>
      <c r="C169" s="71" t="s">
        <v>637</v>
      </c>
      <c r="D169" s="70" t="s">
        <v>571</v>
      </c>
      <c r="E169" s="71">
        <f t="shared" si="1"/>
        <v>33</v>
      </c>
      <c r="F169" s="71">
        <f t="shared" si="2"/>
        <v>7</v>
      </c>
      <c r="G169" s="55">
        <f t="shared" si="3"/>
        <v>21.21212121</v>
      </c>
      <c r="H169" s="70"/>
      <c r="I169" s="72" t="b">
        <v>0</v>
      </c>
      <c r="J169" s="72" t="b">
        <v>0</v>
      </c>
      <c r="K169" s="72" t="b">
        <v>0</v>
      </c>
      <c r="L169" s="72" t="b">
        <v>0</v>
      </c>
      <c r="M169" s="72" t="b">
        <v>0</v>
      </c>
      <c r="N169" s="72" t="b">
        <v>0</v>
      </c>
      <c r="O169" s="72" t="b">
        <v>0</v>
      </c>
      <c r="P169" s="72" t="b">
        <v>0</v>
      </c>
      <c r="Q169" s="72" t="b">
        <v>0</v>
      </c>
      <c r="R169" s="72" t="b">
        <v>0</v>
      </c>
      <c r="S169" s="72" t="b">
        <v>0</v>
      </c>
      <c r="T169" s="72" t="b">
        <v>0</v>
      </c>
      <c r="U169" s="72" t="b">
        <v>0</v>
      </c>
      <c r="V169" s="72" t="b">
        <v>0</v>
      </c>
      <c r="W169" s="72" t="b">
        <v>0</v>
      </c>
      <c r="X169" s="72" t="b">
        <v>0</v>
      </c>
      <c r="Y169" s="72" t="b">
        <v>0</v>
      </c>
      <c r="Z169" s="72" t="b">
        <v>0</v>
      </c>
      <c r="AA169" s="72" t="b">
        <v>0</v>
      </c>
      <c r="AB169" s="72" t="b">
        <v>0</v>
      </c>
      <c r="AC169" s="72" t="b">
        <v>0</v>
      </c>
      <c r="AD169" s="72" t="b">
        <v>0</v>
      </c>
      <c r="AE169" s="72" t="b">
        <v>1</v>
      </c>
      <c r="AF169" s="72" t="b">
        <v>0</v>
      </c>
      <c r="AG169" s="72" t="b">
        <v>0</v>
      </c>
      <c r="AH169" s="72" t="b">
        <v>0</v>
      </c>
      <c r="AI169" s="72" t="b">
        <v>1</v>
      </c>
      <c r="AJ169" s="72" t="b">
        <v>1</v>
      </c>
      <c r="AK169" s="72" t="b">
        <v>1</v>
      </c>
      <c r="AL169" s="72" t="b">
        <v>0</v>
      </c>
      <c r="AM169" s="72" t="b">
        <v>1</v>
      </c>
      <c r="AN169" s="72" t="b">
        <v>1</v>
      </c>
      <c r="AO169" s="72" t="b">
        <v>1</v>
      </c>
      <c r="AP169" s="70"/>
      <c r="AQ169" s="54">
        <f t="shared" si="6"/>
        <v>6</v>
      </c>
    </row>
    <row r="170">
      <c r="A170" s="70" t="s">
        <v>638</v>
      </c>
      <c r="B170" s="70" t="s">
        <v>639</v>
      </c>
      <c r="C170" s="71" t="s">
        <v>640</v>
      </c>
      <c r="D170" s="70" t="s">
        <v>571</v>
      </c>
      <c r="E170" s="71">
        <f t="shared" si="1"/>
        <v>33</v>
      </c>
      <c r="F170" s="71">
        <f t="shared" si="2"/>
        <v>3</v>
      </c>
      <c r="G170" s="55">
        <f t="shared" si="3"/>
        <v>9.090909091</v>
      </c>
      <c r="H170" s="70"/>
      <c r="I170" s="72" t="b">
        <v>0</v>
      </c>
      <c r="J170" s="72" t="b">
        <v>1</v>
      </c>
      <c r="K170" s="72" t="b">
        <v>0</v>
      </c>
      <c r="L170" s="72" t="b">
        <v>0</v>
      </c>
      <c r="M170" s="72" t="b">
        <v>0</v>
      </c>
      <c r="N170" s="72" t="b">
        <v>0</v>
      </c>
      <c r="O170" s="72" t="b">
        <v>0</v>
      </c>
      <c r="P170" s="72" t="b">
        <v>0</v>
      </c>
      <c r="Q170" s="72" t="b">
        <v>0</v>
      </c>
      <c r="R170" s="72" t="b">
        <v>0</v>
      </c>
      <c r="S170" s="72" t="b">
        <v>0</v>
      </c>
      <c r="T170" s="72" t="b">
        <v>0</v>
      </c>
      <c r="U170" s="72" t="b">
        <v>0</v>
      </c>
      <c r="V170" s="72" t="b">
        <v>0</v>
      </c>
      <c r="W170" s="72" t="b">
        <v>0</v>
      </c>
      <c r="X170" s="72" t="b">
        <v>0</v>
      </c>
      <c r="Y170" s="72" t="b">
        <v>0</v>
      </c>
      <c r="Z170" s="72" t="b">
        <v>0</v>
      </c>
      <c r="AA170" s="72" t="b">
        <v>0</v>
      </c>
      <c r="AB170" s="72" t="b">
        <v>0</v>
      </c>
      <c r="AC170" s="72" t="b">
        <v>0</v>
      </c>
      <c r="AD170" s="72" t="b">
        <v>0</v>
      </c>
      <c r="AE170" s="72" t="b">
        <v>0</v>
      </c>
      <c r="AF170" s="72" t="b">
        <v>0</v>
      </c>
      <c r="AG170" s="72" t="b">
        <v>0</v>
      </c>
      <c r="AH170" s="72" t="b">
        <v>1</v>
      </c>
      <c r="AI170" s="72" t="b">
        <v>0</v>
      </c>
      <c r="AJ170" s="72" t="b">
        <v>0</v>
      </c>
      <c r="AK170" s="72" t="b">
        <v>0</v>
      </c>
      <c r="AL170" s="72" t="b">
        <v>0</v>
      </c>
      <c r="AM170" s="72" t="b">
        <v>0</v>
      </c>
      <c r="AN170" s="72" t="b">
        <v>0</v>
      </c>
      <c r="AO170" s="72" t="b">
        <v>1</v>
      </c>
      <c r="AP170" s="70"/>
      <c r="AQ170" s="54">
        <f t="shared" si="6"/>
        <v>2</v>
      </c>
    </row>
    <row r="171">
      <c r="A171" s="70" t="s">
        <v>641</v>
      </c>
      <c r="B171" s="70" t="s">
        <v>642</v>
      </c>
      <c r="C171" s="71" t="s">
        <v>643</v>
      </c>
      <c r="D171" s="70" t="s">
        <v>571</v>
      </c>
      <c r="E171" s="71">
        <f t="shared" si="1"/>
        <v>33</v>
      </c>
      <c r="F171" s="71">
        <f t="shared" si="2"/>
        <v>22</v>
      </c>
      <c r="G171" s="55">
        <f t="shared" si="3"/>
        <v>66.66666667</v>
      </c>
      <c r="H171" s="70"/>
      <c r="I171" s="72" t="b">
        <v>0</v>
      </c>
      <c r="J171" s="72" t="b">
        <v>0</v>
      </c>
      <c r="K171" s="72" t="b">
        <v>0</v>
      </c>
      <c r="L171" s="72" t="b">
        <v>0</v>
      </c>
      <c r="M171" s="72" t="b">
        <v>0</v>
      </c>
      <c r="N171" s="72" t="b">
        <v>1</v>
      </c>
      <c r="O171" s="72" t="b">
        <v>0</v>
      </c>
      <c r="P171" s="72" t="b">
        <v>0</v>
      </c>
      <c r="Q171" s="72" t="b">
        <v>0</v>
      </c>
      <c r="R171" s="72" t="b">
        <v>1</v>
      </c>
      <c r="S171" s="72" t="b">
        <v>1</v>
      </c>
      <c r="T171" s="72" t="b">
        <v>1</v>
      </c>
      <c r="U171" s="72" t="b">
        <v>0</v>
      </c>
      <c r="V171" s="72" t="b">
        <v>1</v>
      </c>
      <c r="W171" s="72" t="b">
        <v>1</v>
      </c>
      <c r="X171" s="72" t="b">
        <v>1</v>
      </c>
      <c r="Y171" s="72" t="b">
        <v>1</v>
      </c>
      <c r="Z171" s="72" t="b">
        <v>1</v>
      </c>
      <c r="AA171" s="72" t="b">
        <v>1</v>
      </c>
      <c r="AB171" s="72" t="b">
        <v>0</v>
      </c>
      <c r="AC171" s="72" t="b">
        <v>1</v>
      </c>
      <c r="AD171" s="72" t="b">
        <v>1</v>
      </c>
      <c r="AE171" s="72" t="b">
        <v>1</v>
      </c>
      <c r="AF171" s="72" t="b">
        <v>1</v>
      </c>
      <c r="AG171" s="72" t="b">
        <v>1</v>
      </c>
      <c r="AH171" s="72" t="b">
        <v>1</v>
      </c>
      <c r="AI171" s="72" t="b">
        <v>1</v>
      </c>
      <c r="AJ171" s="72" t="b">
        <v>1</v>
      </c>
      <c r="AK171" s="72" t="b">
        <v>1</v>
      </c>
      <c r="AL171" s="72" t="b">
        <v>0</v>
      </c>
      <c r="AM171" s="72" t="b">
        <v>1</v>
      </c>
      <c r="AN171" s="72" t="b">
        <v>1</v>
      </c>
      <c r="AO171" s="72" t="b">
        <v>1</v>
      </c>
      <c r="AP171" s="70"/>
      <c r="AQ171" s="54">
        <f t="shared" si="6"/>
        <v>8</v>
      </c>
    </row>
    <row r="172">
      <c r="A172" s="70" t="s">
        <v>644</v>
      </c>
      <c r="B172" s="70" t="s">
        <v>645</v>
      </c>
      <c r="C172" s="71" t="s">
        <v>646</v>
      </c>
      <c r="D172" s="70" t="s">
        <v>571</v>
      </c>
      <c r="E172" s="71">
        <f t="shared" si="1"/>
        <v>33</v>
      </c>
      <c r="F172" s="71">
        <f t="shared" si="2"/>
        <v>1</v>
      </c>
      <c r="G172" s="55">
        <f t="shared" si="3"/>
        <v>3.03030303</v>
      </c>
      <c r="H172" s="70"/>
      <c r="I172" s="72" t="b">
        <v>0</v>
      </c>
      <c r="J172" s="72" t="b">
        <v>0</v>
      </c>
      <c r="K172" s="72" t="b">
        <v>0</v>
      </c>
      <c r="L172" s="72" t="b">
        <v>0</v>
      </c>
      <c r="M172" s="72" t="b">
        <v>0</v>
      </c>
      <c r="N172" s="72" t="b">
        <v>0</v>
      </c>
      <c r="O172" s="72" t="b">
        <v>0</v>
      </c>
      <c r="P172" s="72" t="b">
        <v>0</v>
      </c>
      <c r="Q172" s="72" t="b">
        <v>0</v>
      </c>
      <c r="R172" s="72" t="b">
        <v>0</v>
      </c>
      <c r="S172" s="72" t="b">
        <v>0</v>
      </c>
      <c r="T172" s="72" t="b">
        <v>0</v>
      </c>
      <c r="U172" s="72" t="b">
        <v>0</v>
      </c>
      <c r="V172" s="72" t="b">
        <v>0</v>
      </c>
      <c r="W172" s="72" t="b">
        <v>0</v>
      </c>
      <c r="X172" s="72" t="b">
        <v>0</v>
      </c>
      <c r="Y172" s="72" t="b">
        <v>0</v>
      </c>
      <c r="Z172" s="72" t="b">
        <v>0</v>
      </c>
      <c r="AA172" s="72" t="b">
        <v>0</v>
      </c>
      <c r="AB172" s="72" t="b">
        <v>0</v>
      </c>
      <c r="AC172" s="72" t="b">
        <v>0</v>
      </c>
      <c r="AD172" s="72" t="b">
        <v>0</v>
      </c>
      <c r="AE172" s="72" t="b">
        <v>0</v>
      </c>
      <c r="AF172" s="72" t="b">
        <v>0</v>
      </c>
      <c r="AG172" s="72" t="b">
        <v>0</v>
      </c>
      <c r="AH172" s="72" t="b">
        <v>0</v>
      </c>
      <c r="AI172" s="72" t="b">
        <v>0</v>
      </c>
      <c r="AJ172" s="72" t="b">
        <v>0</v>
      </c>
      <c r="AK172" s="72" t="b">
        <v>0</v>
      </c>
      <c r="AL172" s="72" t="b">
        <v>0</v>
      </c>
      <c r="AM172" s="72" t="b">
        <v>0</v>
      </c>
      <c r="AN172" s="72" t="b">
        <v>0</v>
      </c>
      <c r="AO172" s="72" t="b">
        <v>1</v>
      </c>
      <c r="AP172" s="70"/>
      <c r="AQ172" s="54">
        <f t="shared" si="6"/>
        <v>1</v>
      </c>
    </row>
    <row r="173">
      <c r="A173" s="70" t="s">
        <v>647</v>
      </c>
      <c r="B173" s="70" t="s">
        <v>648</v>
      </c>
      <c r="C173" s="71" t="s">
        <v>649</v>
      </c>
      <c r="D173" s="70" t="s">
        <v>571</v>
      </c>
      <c r="E173" s="71">
        <f t="shared" si="1"/>
        <v>33</v>
      </c>
      <c r="F173" s="71">
        <f t="shared" si="2"/>
        <v>7</v>
      </c>
      <c r="G173" s="55">
        <f t="shared" si="3"/>
        <v>21.21212121</v>
      </c>
      <c r="H173" s="70"/>
      <c r="I173" s="72" t="b">
        <v>0</v>
      </c>
      <c r="J173" s="72" t="b">
        <v>0</v>
      </c>
      <c r="K173" s="72" t="b">
        <v>1</v>
      </c>
      <c r="L173" s="72" t="b">
        <v>1</v>
      </c>
      <c r="M173" s="72" t="b">
        <v>0</v>
      </c>
      <c r="N173" s="72" t="b">
        <v>0</v>
      </c>
      <c r="O173" s="72" t="b">
        <v>0</v>
      </c>
      <c r="P173" s="72" t="b">
        <v>0</v>
      </c>
      <c r="Q173" s="72" t="b">
        <v>0</v>
      </c>
      <c r="R173" s="72" t="b">
        <v>0</v>
      </c>
      <c r="S173" s="72" t="b">
        <v>0</v>
      </c>
      <c r="T173" s="72" t="b">
        <v>0</v>
      </c>
      <c r="U173" s="72" t="b">
        <v>0</v>
      </c>
      <c r="V173" s="72" t="b">
        <v>0</v>
      </c>
      <c r="W173" s="72" t="b">
        <v>0</v>
      </c>
      <c r="X173" s="72" t="b">
        <v>0</v>
      </c>
      <c r="Y173" s="72" t="b">
        <v>0</v>
      </c>
      <c r="Z173" s="72" t="b">
        <v>0</v>
      </c>
      <c r="AA173" s="72" t="b">
        <v>0</v>
      </c>
      <c r="AB173" s="72" t="b">
        <v>0</v>
      </c>
      <c r="AC173" s="72" t="b">
        <v>0</v>
      </c>
      <c r="AD173" s="72" t="b">
        <v>0</v>
      </c>
      <c r="AE173" s="72" t="b">
        <v>0</v>
      </c>
      <c r="AF173" s="72" t="b">
        <v>1</v>
      </c>
      <c r="AG173" s="72" t="b">
        <v>0</v>
      </c>
      <c r="AH173" s="72" t="b">
        <v>0</v>
      </c>
      <c r="AI173" s="72" t="b">
        <v>1</v>
      </c>
      <c r="AJ173" s="72" t="b">
        <v>1</v>
      </c>
      <c r="AK173" s="72" t="b">
        <v>1</v>
      </c>
      <c r="AL173" s="72" t="b">
        <v>0</v>
      </c>
      <c r="AM173" s="72" t="b">
        <v>0</v>
      </c>
      <c r="AN173" s="72" t="b">
        <v>0</v>
      </c>
      <c r="AO173" s="72" t="b">
        <v>1</v>
      </c>
      <c r="AP173" s="70"/>
      <c r="AQ173" s="54">
        <f t="shared" si="6"/>
        <v>4</v>
      </c>
    </row>
    <row r="174">
      <c r="A174" s="70" t="s">
        <v>650</v>
      </c>
      <c r="B174" s="70"/>
      <c r="C174" s="70"/>
      <c r="D174" s="70" t="s">
        <v>571</v>
      </c>
      <c r="E174" s="71">
        <f t="shared" si="1"/>
        <v>33</v>
      </c>
      <c r="F174" s="71">
        <f t="shared" si="2"/>
        <v>7</v>
      </c>
      <c r="G174" s="55">
        <f t="shared" si="3"/>
        <v>21.21212121</v>
      </c>
      <c r="H174" s="70"/>
      <c r="I174" s="72" t="b">
        <v>1</v>
      </c>
      <c r="J174" s="72" t="b">
        <v>1</v>
      </c>
      <c r="K174" s="72" t="b">
        <v>1</v>
      </c>
      <c r="L174" s="72" t="b">
        <v>1</v>
      </c>
      <c r="M174" s="72" t="b">
        <v>0</v>
      </c>
      <c r="N174" s="72" t="b">
        <v>1</v>
      </c>
      <c r="O174" s="72" t="b">
        <v>0</v>
      </c>
      <c r="P174" s="72" t="b">
        <v>0</v>
      </c>
      <c r="Q174" s="72" t="b">
        <v>0</v>
      </c>
      <c r="R174" s="72" t="b">
        <v>1</v>
      </c>
      <c r="S174" s="72" t="b">
        <v>0</v>
      </c>
      <c r="T174" s="72" t="b">
        <v>0</v>
      </c>
      <c r="U174" s="72" t="b">
        <v>0</v>
      </c>
      <c r="V174" s="72" t="b">
        <v>0</v>
      </c>
      <c r="W174" s="72" t="b">
        <v>0</v>
      </c>
      <c r="X174" s="72" t="b">
        <v>0</v>
      </c>
      <c r="Y174" s="72" t="b">
        <v>0</v>
      </c>
      <c r="Z174" s="72" t="b">
        <v>0</v>
      </c>
      <c r="AA174" s="72" t="b">
        <v>0</v>
      </c>
      <c r="AB174" s="72" t="b">
        <v>0</v>
      </c>
      <c r="AC174" s="72" t="b">
        <v>0</v>
      </c>
      <c r="AD174" s="72" t="b">
        <v>0</v>
      </c>
      <c r="AE174" s="72" t="b">
        <v>1</v>
      </c>
      <c r="AF174" s="72" t="b">
        <v>0</v>
      </c>
      <c r="AG174" s="72" t="b">
        <v>0</v>
      </c>
      <c r="AH174" s="72" t="b">
        <v>0</v>
      </c>
      <c r="AI174" s="72" t="b">
        <v>0</v>
      </c>
      <c r="AJ174" s="72" t="b">
        <v>0</v>
      </c>
      <c r="AK174" s="72" t="b">
        <v>0</v>
      </c>
      <c r="AL174" s="72" t="b">
        <v>0</v>
      </c>
      <c r="AM174" s="72" t="b">
        <v>0</v>
      </c>
      <c r="AN174" s="72" t="b">
        <v>0</v>
      </c>
      <c r="AO174" s="72" t="b">
        <v>0</v>
      </c>
      <c r="AP174" s="70"/>
      <c r="AQ174" s="49"/>
    </row>
    <row r="175">
      <c r="A175" s="70" t="s">
        <v>651</v>
      </c>
      <c r="B175" s="70" t="s">
        <v>652</v>
      </c>
      <c r="C175" s="71" t="s">
        <v>653</v>
      </c>
      <c r="D175" s="70" t="s">
        <v>571</v>
      </c>
      <c r="E175" s="71">
        <f t="shared" si="1"/>
        <v>33</v>
      </c>
      <c r="F175" s="71">
        <f t="shared" si="2"/>
        <v>28</v>
      </c>
      <c r="G175" s="52">
        <f t="shared" si="3"/>
        <v>84.84848485</v>
      </c>
      <c r="H175" s="70"/>
      <c r="I175" s="72" t="b">
        <v>1</v>
      </c>
      <c r="J175" s="72" t="b">
        <v>1</v>
      </c>
      <c r="K175" s="72" t="b">
        <v>1</v>
      </c>
      <c r="L175" s="72" t="b">
        <v>1</v>
      </c>
      <c r="M175" s="72" t="b">
        <v>1</v>
      </c>
      <c r="N175" s="72" t="b">
        <v>0</v>
      </c>
      <c r="O175" s="72" t="b">
        <v>1</v>
      </c>
      <c r="P175" s="72" t="b">
        <v>1</v>
      </c>
      <c r="Q175" s="72" t="b">
        <v>1</v>
      </c>
      <c r="R175" s="72" t="b">
        <v>1</v>
      </c>
      <c r="S175" s="72" t="b">
        <v>1</v>
      </c>
      <c r="T175" s="72" t="b">
        <v>0</v>
      </c>
      <c r="U175" s="72" t="b">
        <v>0</v>
      </c>
      <c r="V175" s="72" t="b">
        <v>0</v>
      </c>
      <c r="W175" s="72" t="b">
        <v>1</v>
      </c>
      <c r="X175" s="72" t="b">
        <v>1</v>
      </c>
      <c r="Y175" s="72" t="b">
        <v>1</v>
      </c>
      <c r="Z175" s="72" t="b">
        <v>1</v>
      </c>
      <c r="AA175" s="72" t="b">
        <v>1</v>
      </c>
      <c r="AB175" s="72" t="b">
        <v>0</v>
      </c>
      <c r="AC175" s="72" t="b">
        <v>1</v>
      </c>
      <c r="AD175" s="72" t="b">
        <v>1</v>
      </c>
      <c r="AE175" s="72" t="b">
        <v>1</v>
      </c>
      <c r="AF175" s="72" t="b">
        <v>1</v>
      </c>
      <c r="AG175" s="72" t="b">
        <v>1</v>
      </c>
      <c r="AH175" s="72" t="b">
        <v>1</v>
      </c>
      <c r="AI175" s="72" t="b">
        <v>1</v>
      </c>
      <c r="AJ175" s="72" t="b">
        <v>1</v>
      </c>
      <c r="AK175" s="72" t="b">
        <v>1</v>
      </c>
      <c r="AL175" s="72" t="b">
        <v>1</v>
      </c>
      <c r="AM175" s="72" t="b">
        <v>1</v>
      </c>
      <c r="AN175" s="72" t="b">
        <v>1</v>
      </c>
      <c r="AO175" s="72" t="b">
        <v>1</v>
      </c>
      <c r="AP175" s="70"/>
      <c r="AQ175" s="54">
        <f t="shared" ref="AQ175:AQ194" si="7">COUNTIF(AG175:AO175,TRUE)</f>
        <v>9</v>
      </c>
    </row>
    <row r="176">
      <c r="A176" s="70" t="s">
        <v>654</v>
      </c>
      <c r="B176" s="70" t="s">
        <v>655</v>
      </c>
      <c r="C176" s="71" t="s">
        <v>656</v>
      </c>
      <c r="D176" s="70" t="s">
        <v>571</v>
      </c>
      <c r="E176" s="71">
        <f t="shared" si="1"/>
        <v>33</v>
      </c>
      <c r="F176" s="71">
        <f t="shared" si="2"/>
        <v>8</v>
      </c>
      <c r="G176" s="55">
        <f t="shared" si="3"/>
        <v>24.24242424</v>
      </c>
      <c r="H176" s="70"/>
      <c r="I176" s="72" t="b">
        <v>0</v>
      </c>
      <c r="J176" s="72" t="b">
        <v>0</v>
      </c>
      <c r="K176" s="72" t="b">
        <v>0</v>
      </c>
      <c r="L176" s="72" t="b">
        <v>0</v>
      </c>
      <c r="M176" s="72" t="b">
        <v>0</v>
      </c>
      <c r="N176" s="72" t="b">
        <v>0</v>
      </c>
      <c r="O176" s="72" t="b">
        <v>0</v>
      </c>
      <c r="P176" s="72" t="b">
        <v>0</v>
      </c>
      <c r="Q176" s="72" t="b">
        <v>0</v>
      </c>
      <c r="R176" s="72" t="b">
        <v>0</v>
      </c>
      <c r="S176" s="72" t="b">
        <v>0</v>
      </c>
      <c r="T176" s="72" t="b">
        <v>0</v>
      </c>
      <c r="U176" s="72" t="b">
        <v>0</v>
      </c>
      <c r="V176" s="72" t="b">
        <v>0</v>
      </c>
      <c r="W176" s="72" t="b">
        <v>0</v>
      </c>
      <c r="X176" s="72" t="b">
        <v>0</v>
      </c>
      <c r="Y176" s="72" t="b">
        <v>0</v>
      </c>
      <c r="Z176" s="72" t="b">
        <v>0</v>
      </c>
      <c r="AA176" s="72" t="b">
        <v>0</v>
      </c>
      <c r="AB176" s="72" t="b">
        <v>0</v>
      </c>
      <c r="AC176" s="72" t="b">
        <v>1</v>
      </c>
      <c r="AD176" s="72" t="b">
        <v>1</v>
      </c>
      <c r="AE176" s="72" t="b">
        <v>0</v>
      </c>
      <c r="AF176" s="72" t="b">
        <v>0</v>
      </c>
      <c r="AG176" s="72" t="b">
        <v>1</v>
      </c>
      <c r="AH176" s="72" t="b">
        <v>1</v>
      </c>
      <c r="AI176" s="72" t="b">
        <v>0</v>
      </c>
      <c r="AJ176" s="72" t="b">
        <v>1</v>
      </c>
      <c r="AK176" s="72" t="b">
        <v>0</v>
      </c>
      <c r="AL176" s="72" t="b">
        <v>0</v>
      </c>
      <c r="AM176" s="72" t="b">
        <v>1</v>
      </c>
      <c r="AN176" s="72" t="b">
        <v>1</v>
      </c>
      <c r="AO176" s="72" t="b">
        <v>1</v>
      </c>
      <c r="AP176" s="70"/>
      <c r="AQ176" s="54">
        <f t="shared" si="7"/>
        <v>6</v>
      </c>
    </row>
    <row r="177">
      <c r="A177" s="70" t="s">
        <v>657</v>
      </c>
      <c r="B177" s="70" t="s">
        <v>658</v>
      </c>
      <c r="C177" s="71" t="s">
        <v>659</v>
      </c>
      <c r="D177" s="70" t="s">
        <v>571</v>
      </c>
      <c r="E177" s="71">
        <f t="shared" si="1"/>
        <v>33</v>
      </c>
      <c r="F177" s="71">
        <f t="shared" si="2"/>
        <v>31</v>
      </c>
      <c r="G177" s="52">
        <f t="shared" si="3"/>
        <v>93.93939394</v>
      </c>
      <c r="H177" s="70"/>
      <c r="I177" s="72" t="b">
        <v>1</v>
      </c>
      <c r="J177" s="72" t="b">
        <v>1</v>
      </c>
      <c r="K177" s="72" t="b">
        <v>1</v>
      </c>
      <c r="L177" s="72" t="b">
        <v>1</v>
      </c>
      <c r="M177" s="72" t="b">
        <v>1</v>
      </c>
      <c r="N177" s="72" t="b">
        <v>1</v>
      </c>
      <c r="O177" s="72" t="b">
        <v>1</v>
      </c>
      <c r="P177" s="72" t="b">
        <v>1</v>
      </c>
      <c r="Q177" s="72" t="b">
        <v>1</v>
      </c>
      <c r="R177" s="72" t="b">
        <v>1</v>
      </c>
      <c r="S177" s="72" t="b">
        <v>1</v>
      </c>
      <c r="T177" s="72" t="b">
        <v>1</v>
      </c>
      <c r="U177" s="72" t="b">
        <v>1</v>
      </c>
      <c r="V177" s="72" t="b">
        <v>0</v>
      </c>
      <c r="W177" s="72" t="b">
        <v>1</v>
      </c>
      <c r="X177" s="72" t="b">
        <v>1</v>
      </c>
      <c r="Y177" s="72" t="b">
        <v>1</v>
      </c>
      <c r="Z177" s="72" t="b">
        <v>1</v>
      </c>
      <c r="AA177" s="72" t="b">
        <v>1</v>
      </c>
      <c r="AB177" s="72" t="b">
        <v>0</v>
      </c>
      <c r="AC177" s="72" t="b">
        <v>1</v>
      </c>
      <c r="AD177" s="72" t="b">
        <v>1</v>
      </c>
      <c r="AE177" s="72" t="b">
        <v>1</v>
      </c>
      <c r="AF177" s="72" t="b">
        <v>1</v>
      </c>
      <c r="AG177" s="72" t="b">
        <v>1</v>
      </c>
      <c r="AH177" s="72" t="b">
        <v>1</v>
      </c>
      <c r="AI177" s="72" t="b">
        <v>1</v>
      </c>
      <c r="AJ177" s="72" t="b">
        <v>1</v>
      </c>
      <c r="AK177" s="72" t="b">
        <v>1</v>
      </c>
      <c r="AL177" s="72" t="b">
        <v>1</v>
      </c>
      <c r="AM177" s="72" t="b">
        <v>1</v>
      </c>
      <c r="AN177" s="72" t="b">
        <v>1</v>
      </c>
      <c r="AO177" s="72" t="b">
        <v>1</v>
      </c>
      <c r="AP177" s="70"/>
      <c r="AQ177" s="54">
        <f t="shared" si="7"/>
        <v>9</v>
      </c>
    </row>
    <row r="178">
      <c r="A178" s="70" t="s">
        <v>660</v>
      </c>
      <c r="B178" s="70" t="s">
        <v>661</v>
      </c>
      <c r="C178" s="71" t="s">
        <v>662</v>
      </c>
      <c r="D178" s="70" t="s">
        <v>571</v>
      </c>
      <c r="E178" s="71">
        <f t="shared" si="1"/>
        <v>33</v>
      </c>
      <c r="F178" s="71">
        <f t="shared" si="2"/>
        <v>14</v>
      </c>
      <c r="G178" s="55">
        <f t="shared" si="3"/>
        <v>42.42424242</v>
      </c>
      <c r="H178" s="70"/>
      <c r="I178" s="72" t="b">
        <v>0</v>
      </c>
      <c r="J178" s="72" t="b">
        <v>1</v>
      </c>
      <c r="K178" s="72" t="b">
        <v>0</v>
      </c>
      <c r="L178" s="72" t="b">
        <v>0</v>
      </c>
      <c r="M178" s="72" t="b">
        <v>0</v>
      </c>
      <c r="N178" s="72" t="b">
        <v>1</v>
      </c>
      <c r="O178" s="72" t="b">
        <v>0</v>
      </c>
      <c r="P178" s="72" t="b">
        <v>0</v>
      </c>
      <c r="Q178" s="72" t="b">
        <v>0</v>
      </c>
      <c r="R178" s="72" t="b">
        <v>0</v>
      </c>
      <c r="S178" s="72" t="b">
        <v>0</v>
      </c>
      <c r="T178" s="72" t="b">
        <v>0</v>
      </c>
      <c r="U178" s="72" t="b">
        <v>0</v>
      </c>
      <c r="V178" s="72" t="b">
        <v>0</v>
      </c>
      <c r="W178" s="72" t="b">
        <v>0</v>
      </c>
      <c r="X178" s="72" t="b">
        <v>0</v>
      </c>
      <c r="Y178" s="72" t="b">
        <v>0</v>
      </c>
      <c r="Z178" s="72" t="b">
        <v>1</v>
      </c>
      <c r="AA178" s="72" t="b">
        <v>0</v>
      </c>
      <c r="AB178" s="72" t="b">
        <v>0</v>
      </c>
      <c r="AC178" s="72" t="b">
        <v>0</v>
      </c>
      <c r="AD178" s="72" t="b">
        <v>0</v>
      </c>
      <c r="AE178" s="72" t="b">
        <v>1</v>
      </c>
      <c r="AF178" s="72" t="b">
        <v>1</v>
      </c>
      <c r="AG178" s="72" t="b">
        <v>1</v>
      </c>
      <c r="AH178" s="72" t="b">
        <v>1</v>
      </c>
      <c r="AI178" s="72" t="b">
        <v>1</v>
      </c>
      <c r="AJ178" s="72" t="b">
        <v>1</v>
      </c>
      <c r="AK178" s="72" t="b">
        <v>1</v>
      </c>
      <c r="AL178" s="72" t="b">
        <v>1</v>
      </c>
      <c r="AM178" s="72" t="b">
        <v>1</v>
      </c>
      <c r="AN178" s="72" t="b">
        <v>1</v>
      </c>
      <c r="AO178" s="72" t="b">
        <v>1</v>
      </c>
      <c r="AP178" s="70"/>
      <c r="AQ178" s="54">
        <f t="shared" si="7"/>
        <v>9</v>
      </c>
    </row>
    <row r="179">
      <c r="A179" s="70" t="s">
        <v>663</v>
      </c>
      <c r="B179" s="70"/>
      <c r="C179" s="71" t="s">
        <v>664</v>
      </c>
      <c r="D179" s="70" t="s">
        <v>571</v>
      </c>
      <c r="E179" s="71">
        <f t="shared" si="1"/>
        <v>33</v>
      </c>
      <c r="F179" s="71">
        <f t="shared" si="2"/>
        <v>28</v>
      </c>
      <c r="G179" s="52">
        <f t="shared" si="3"/>
        <v>84.84848485</v>
      </c>
      <c r="H179" s="70"/>
      <c r="I179" s="72" t="b">
        <v>1</v>
      </c>
      <c r="J179" s="72" t="b">
        <v>1</v>
      </c>
      <c r="K179" s="72" t="b">
        <v>0</v>
      </c>
      <c r="L179" s="72" t="b">
        <v>0</v>
      </c>
      <c r="M179" s="72" t="b">
        <v>0</v>
      </c>
      <c r="N179" s="72" t="b">
        <v>0</v>
      </c>
      <c r="O179" s="72" t="b">
        <v>1</v>
      </c>
      <c r="P179" s="72" t="b">
        <v>1</v>
      </c>
      <c r="Q179" s="72" t="b">
        <v>1</v>
      </c>
      <c r="R179" s="72" t="b">
        <v>1</v>
      </c>
      <c r="S179" s="72" t="b">
        <v>1</v>
      </c>
      <c r="T179" s="72" t="b">
        <v>1</v>
      </c>
      <c r="U179" s="72" t="b">
        <v>1</v>
      </c>
      <c r="V179" s="72" t="b">
        <v>1</v>
      </c>
      <c r="W179" s="72" t="b">
        <v>1</v>
      </c>
      <c r="X179" s="72" t="b">
        <v>1</v>
      </c>
      <c r="Y179" s="72" t="b">
        <v>1</v>
      </c>
      <c r="Z179" s="72" t="b">
        <v>1</v>
      </c>
      <c r="AA179" s="72" t="b">
        <v>1</v>
      </c>
      <c r="AB179" s="72" t="b">
        <v>1</v>
      </c>
      <c r="AC179" s="72" t="b">
        <v>1</v>
      </c>
      <c r="AD179" s="72" t="b">
        <v>1</v>
      </c>
      <c r="AE179" s="72" t="b">
        <v>1</v>
      </c>
      <c r="AF179" s="72" t="b">
        <v>1</v>
      </c>
      <c r="AG179" s="72" t="b">
        <v>1</v>
      </c>
      <c r="AH179" s="72" t="b">
        <v>1</v>
      </c>
      <c r="AI179" s="72" t="b">
        <v>1</v>
      </c>
      <c r="AJ179" s="72" t="b">
        <v>1</v>
      </c>
      <c r="AK179" s="72" t="b">
        <v>1</v>
      </c>
      <c r="AL179" s="72" t="b">
        <v>1</v>
      </c>
      <c r="AM179" s="72" t="b">
        <v>1</v>
      </c>
      <c r="AN179" s="72" t="b">
        <v>1</v>
      </c>
      <c r="AO179" s="72" t="b">
        <v>0</v>
      </c>
      <c r="AP179" s="70"/>
      <c r="AQ179" s="54">
        <f t="shared" si="7"/>
        <v>8</v>
      </c>
    </row>
    <row r="180">
      <c r="A180" s="70" t="s">
        <v>665</v>
      </c>
      <c r="B180" s="70" t="s">
        <v>666</v>
      </c>
      <c r="C180" s="71" t="s">
        <v>667</v>
      </c>
      <c r="D180" s="70" t="s">
        <v>571</v>
      </c>
      <c r="E180" s="71">
        <f t="shared" si="1"/>
        <v>33</v>
      </c>
      <c r="F180" s="71">
        <f t="shared" si="2"/>
        <v>28</v>
      </c>
      <c r="G180" s="52">
        <f t="shared" si="3"/>
        <v>84.84848485</v>
      </c>
      <c r="H180" s="70"/>
      <c r="I180" s="72" t="b">
        <v>1</v>
      </c>
      <c r="J180" s="72" t="b">
        <v>1</v>
      </c>
      <c r="K180" s="72" t="b">
        <v>0</v>
      </c>
      <c r="L180" s="72" t="b">
        <v>0</v>
      </c>
      <c r="M180" s="72" t="b">
        <v>1</v>
      </c>
      <c r="N180" s="72" t="b">
        <v>1</v>
      </c>
      <c r="O180" s="72" t="b">
        <v>1</v>
      </c>
      <c r="P180" s="72" t="b">
        <v>1</v>
      </c>
      <c r="Q180" s="72" t="b">
        <v>1</v>
      </c>
      <c r="R180" s="72" t="b">
        <v>1</v>
      </c>
      <c r="S180" s="72" t="b">
        <v>1</v>
      </c>
      <c r="T180" s="72" t="b">
        <v>1</v>
      </c>
      <c r="U180" s="72" t="b">
        <v>1</v>
      </c>
      <c r="V180" s="72" t="b">
        <v>1</v>
      </c>
      <c r="W180" s="72" t="b">
        <v>1</v>
      </c>
      <c r="X180" s="72" t="b">
        <v>1</v>
      </c>
      <c r="Y180" s="72" t="b">
        <v>0</v>
      </c>
      <c r="Z180" s="72" t="b">
        <v>1</v>
      </c>
      <c r="AA180" s="72" t="b">
        <v>0</v>
      </c>
      <c r="AB180" s="72" t="b">
        <v>1</v>
      </c>
      <c r="AC180" s="72" t="b">
        <v>1</v>
      </c>
      <c r="AD180" s="72" t="b">
        <v>1</v>
      </c>
      <c r="AE180" s="72" t="b">
        <v>1</v>
      </c>
      <c r="AF180" s="72" t="b">
        <v>1</v>
      </c>
      <c r="AG180" s="72" t="b">
        <v>1</v>
      </c>
      <c r="AH180" s="72" t="b">
        <v>1</v>
      </c>
      <c r="AI180" s="72" t="b">
        <v>1</v>
      </c>
      <c r="AJ180" s="72" t="b">
        <v>1</v>
      </c>
      <c r="AK180" s="72" t="b">
        <v>1</v>
      </c>
      <c r="AL180" s="72" t="b">
        <v>0</v>
      </c>
      <c r="AM180" s="72" t="b">
        <v>1</v>
      </c>
      <c r="AN180" s="72" t="b">
        <v>1</v>
      </c>
      <c r="AO180" s="72" t="b">
        <v>1</v>
      </c>
      <c r="AP180" s="70"/>
      <c r="AQ180" s="54">
        <f t="shared" si="7"/>
        <v>8</v>
      </c>
    </row>
    <row r="181">
      <c r="A181" s="70" t="s">
        <v>668</v>
      </c>
      <c r="B181" s="70"/>
      <c r="C181" s="71" t="s">
        <v>669</v>
      </c>
      <c r="D181" s="70" t="s">
        <v>571</v>
      </c>
      <c r="E181" s="71">
        <f t="shared" si="1"/>
        <v>33</v>
      </c>
      <c r="F181" s="71">
        <f t="shared" si="2"/>
        <v>26</v>
      </c>
      <c r="G181" s="52">
        <f t="shared" si="3"/>
        <v>78.78787879</v>
      </c>
      <c r="H181" s="70"/>
      <c r="I181" s="72" t="b">
        <v>1</v>
      </c>
      <c r="J181" s="72" t="b">
        <v>1</v>
      </c>
      <c r="K181" s="72" t="b">
        <v>0</v>
      </c>
      <c r="L181" s="72" t="b">
        <v>0</v>
      </c>
      <c r="M181" s="72" t="b">
        <v>1</v>
      </c>
      <c r="N181" s="72" t="b">
        <v>1</v>
      </c>
      <c r="O181" s="72" t="b">
        <v>1</v>
      </c>
      <c r="P181" s="72" t="b">
        <v>0</v>
      </c>
      <c r="Q181" s="72" t="b">
        <v>0</v>
      </c>
      <c r="R181" s="72" t="b">
        <v>1</v>
      </c>
      <c r="S181" s="72" t="b">
        <v>1</v>
      </c>
      <c r="T181" s="72" t="b">
        <v>1</v>
      </c>
      <c r="U181" s="72" t="b">
        <v>1</v>
      </c>
      <c r="V181" s="72" t="b">
        <v>1</v>
      </c>
      <c r="W181" s="72" t="b">
        <v>1</v>
      </c>
      <c r="X181" s="72" t="b">
        <v>1</v>
      </c>
      <c r="Y181" s="72" t="b">
        <v>0</v>
      </c>
      <c r="Z181" s="72" t="b">
        <v>1</v>
      </c>
      <c r="AA181" s="72" t="b">
        <v>1</v>
      </c>
      <c r="AB181" s="72" t="b">
        <v>0</v>
      </c>
      <c r="AC181" s="72" t="b">
        <v>1</v>
      </c>
      <c r="AD181" s="72" t="b">
        <v>1</v>
      </c>
      <c r="AE181" s="72" t="b">
        <v>1</v>
      </c>
      <c r="AF181" s="72" t="b">
        <v>1</v>
      </c>
      <c r="AG181" s="72" t="b">
        <v>1</v>
      </c>
      <c r="AH181" s="72" t="b">
        <v>1</v>
      </c>
      <c r="AI181" s="72" t="b">
        <v>1</v>
      </c>
      <c r="AJ181" s="72" t="b">
        <v>1</v>
      </c>
      <c r="AK181" s="72" t="b">
        <v>1</v>
      </c>
      <c r="AL181" s="72" t="b">
        <v>0</v>
      </c>
      <c r="AM181" s="72" t="b">
        <v>1</v>
      </c>
      <c r="AN181" s="72" t="b">
        <v>1</v>
      </c>
      <c r="AO181" s="72" t="b">
        <v>1</v>
      </c>
      <c r="AP181" s="70"/>
      <c r="AQ181" s="54">
        <f t="shared" si="7"/>
        <v>8</v>
      </c>
    </row>
    <row r="182">
      <c r="A182" s="70" t="s">
        <v>670</v>
      </c>
      <c r="B182" s="70" t="s">
        <v>671</v>
      </c>
      <c r="C182" s="71" t="s">
        <v>672</v>
      </c>
      <c r="D182" s="70" t="s">
        <v>571</v>
      </c>
      <c r="E182" s="71">
        <f t="shared" si="1"/>
        <v>33</v>
      </c>
      <c r="F182" s="71">
        <f t="shared" si="2"/>
        <v>15</v>
      </c>
      <c r="G182" s="55">
        <f t="shared" si="3"/>
        <v>45.45454545</v>
      </c>
      <c r="H182" s="70"/>
      <c r="I182" s="72" t="b">
        <v>1</v>
      </c>
      <c r="J182" s="72" t="b">
        <v>0</v>
      </c>
      <c r="K182" s="72" t="b">
        <v>0</v>
      </c>
      <c r="L182" s="72" t="b">
        <v>0</v>
      </c>
      <c r="M182" s="72" t="b">
        <v>0</v>
      </c>
      <c r="N182" s="72" t="b">
        <v>0</v>
      </c>
      <c r="O182" s="72" t="b">
        <v>0</v>
      </c>
      <c r="P182" s="72" t="b">
        <v>0</v>
      </c>
      <c r="Q182" s="72" t="b">
        <v>0</v>
      </c>
      <c r="R182" s="72" t="b">
        <v>1</v>
      </c>
      <c r="S182" s="72" t="b">
        <v>1</v>
      </c>
      <c r="T182" s="72" t="b">
        <v>0</v>
      </c>
      <c r="U182" s="72" t="b">
        <v>1</v>
      </c>
      <c r="V182" s="72" t="b">
        <v>1</v>
      </c>
      <c r="W182" s="72" t="b">
        <v>0</v>
      </c>
      <c r="X182" s="72" t="b">
        <v>1</v>
      </c>
      <c r="Y182" s="72" t="b">
        <v>1</v>
      </c>
      <c r="Z182" s="72" t="b">
        <v>1</v>
      </c>
      <c r="AA182" s="72" t="b">
        <v>1</v>
      </c>
      <c r="AB182" s="72" t="b">
        <v>0</v>
      </c>
      <c r="AC182" s="72" t="b">
        <v>0</v>
      </c>
      <c r="AD182" s="72" t="b">
        <v>0</v>
      </c>
      <c r="AE182" s="72" t="b">
        <v>1</v>
      </c>
      <c r="AF182" s="72" t="b">
        <v>1</v>
      </c>
      <c r="AG182" s="72" t="b">
        <v>1</v>
      </c>
      <c r="AH182" s="72" t="b">
        <v>0</v>
      </c>
      <c r="AI182" s="72" t="b">
        <v>0</v>
      </c>
      <c r="AJ182" s="72" t="b">
        <v>0</v>
      </c>
      <c r="AK182" s="72" t="b">
        <v>0</v>
      </c>
      <c r="AL182" s="72" t="b">
        <v>0</v>
      </c>
      <c r="AM182" s="72" t="b">
        <v>1</v>
      </c>
      <c r="AN182" s="72" t="b">
        <v>1</v>
      </c>
      <c r="AO182" s="72" t="b">
        <v>1</v>
      </c>
      <c r="AP182" s="70"/>
      <c r="AQ182" s="54">
        <f t="shared" si="7"/>
        <v>4</v>
      </c>
    </row>
    <row r="183">
      <c r="A183" s="70" t="s">
        <v>673</v>
      </c>
      <c r="B183" s="70" t="s">
        <v>674</v>
      </c>
      <c r="C183" s="71" t="s">
        <v>675</v>
      </c>
      <c r="D183" s="70" t="s">
        <v>571</v>
      </c>
      <c r="E183" s="71">
        <f t="shared" si="1"/>
        <v>33</v>
      </c>
      <c r="F183" s="71">
        <f t="shared" si="2"/>
        <v>24</v>
      </c>
      <c r="G183" s="52">
        <f t="shared" si="3"/>
        <v>72.72727273</v>
      </c>
      <c r="H183" s="70"/>
      <c r="I183" s="72" t="b">
        <v>1</v>
      </c>
      <c r="J183" s="72" t="b">
        <v>1</v>
      </c>
      <c r="K183" s="72" t="b">
        <v>1</v>
      </c>
      <c r="L183" s="72" t="b">
        <v>0</v>
      </c>
      <c r="M183" s="72" t="b">
        <v>0</v>
      </c>
      <c r="N183" s="72" t="b">
        <v>1</v>
      </c>
      <c r="O183" s="72" t="b">
        <v>1</v>
      </c>
      <c r="P183" s="72" t="b">
        <v>0</v>
      </c>
      <c r="Q183" s="72" t="b">
        <v>0</v>
      </c>
      <c r="R183" s="72" t="b">
        <v>1</v>
      </c>
      <c r="S183" s="72" t="b">
        <v>1</v>
      </c>
      <c r="T183" s="72" t="b">
        <v>1</v>
      </c>
      <c r="U183" s="72" t="b">
        <v>1</v>
      </c>
      <c r="V183" s="72" t="b">
        <v>1</v>
      </c>
      <c r="W183" s="72" t="b">
        <v>1</v>
      </c>
      <c r="X183" s="72" t="b">
        <v>1</v>
      </c>
      <c r="Y183" s="72" t="b">
        <v>1</v>
      </c>
      <c r="Z183" s="72" t="b">
        <v>0</v>
      </c>
      <c r="AA183" s="72" t="b">
        <v>1</v>
      </c>
      <c r="AB183" s="72" t="b">
        <v>0</v>
      </c>
      <c r="AC183" s="72" t="b">
        <v>1</v>
      </c>
      <c r="AD183" s="72" t="b">
        <v>1</v>
      </c>
      <c r="AE183" s="72" t="b">
        <v>0</v>
      </c>
      <c r="AF183" s="72" t="b">
        <v>1</v>
      </c>
      <c r="AG183" s="72" t="b">
        <v>1</v>
      </c>
      <c r="AH183" s="72" t="b">
        <v>1</v>
      </c>
      <c r="AI183" s="72" t="b">
        <v>1</v>
      </c>
      <c r="AJ183" s="72" t="b">
        <v>0</v>
      </c>
      <c r="AK183" s="72" t="b">
        <v>1</v>
      </c>
      <c r="AL183" s="72" t="b">
        <v>0</v>
      </c>
      <c r="AM183" s="72" t="b">
        <v>1</v>
      </c>
      <c r="AN183" s="72" t="b">
        <v>1</v>
      </c>
      <c r="AO183" s="72" t="b">
        <v>1</v>
      </c>
      <c r="AP183" s="70"/>
      <c r="AQ183" s="54">
        <f t="shared" si="7"/>
        <v>7</v>
      </c>
    </row>
    <row r="184">
      <c r="A184" s="70" t="s">
        <v>676</v>
      </c>
      <c r="B184" s="70" t="s">
        <v>677</v>
      </c>
      <c r="C184" s="71" t="s">
        <v>678</v>
      </c>
      <c r="D184" s="70" t="s">
        <v>571</v>
      </c>
      <c r="E184" s="71">
        <f t="shared" si="1"/>
        <v>33</v>
      </c>
      <c r="F184" s="71">
        <f t="shared" si="2"/>
        <v>22</v>
      </c>
      <c r="G184" s="55">
        <f t="shared" si="3"/>
        <v>66.66666667</v>
      </c>
      <c r="H184" s="70"/>
      <c r="I184" s="72" t="b">
        <v>1</v>
      </c>
      <c r="J184" s="72" t="b">
        <v>1</v>
      </c>
      <c r="K184" s="72" t="b">
        <v>1</v>
      </c>
      <c r="L184" s="72" t="b">
        <v>1</v>
      </c>
      <c r="M184" s="72" t="b">
        <v>1</v>
      </c>
      <c r="N184" s="72" t="b">
        <v>1</v>
      </c>
      <c r="O184" s="72" t="b">
        <v>0</v>
      </c>
      <c r="P184" s="72" t="b">
        <v>0</v>
      </c>
      <c r="Q184" s="72" t="b">
        <v>1</v>
      </c>
      <c r="R184" s="72" t="b">
        <v>0</v>
      </c>
      <c r="S184" s="72" t="b">
        <v>0</v>
      </c>
      <c r="T184" s="72" t="b">
        <v>1</v>
      </c>
      <c r="U184" s="72" t="b">
        <v>1</v>
      </c>
      <c r="V184" s="72" t="b">
        <v>1</v>
      </c>
      <c r="W184" s="72" t="b">
        <v>1</v>
      </c>
      <c r="X184" s="72" t="b">
        <v>1</v>
      </c>
      <c r="Y184" s="72" t="b">
        <v>1</v>
      </c>
      <c r="Z184" s="72" t="b">
        <v>0</v>
      </c>
      <c r="AA184" s="72" t="b">
        <v>0</v>
      </c>
      <c r="AB184" s="72" t="b">
        <v>0</v>
      </c>
      <c r="AC184" s="72" t="b">
        <v>0</v>
      </c>
      <c r="AD184" s="72" t="b">
        <v>0</v>
      </c>
      <c r="AE184" s="72" t="b">
        <v>1</v>
      </c>
      <c r="AF184" s="72" t="b">
        <v>1</v>
      </c>
      <c r="AG184" s="72" t="b">
        <v>1</v>
      </c>
      <c r="AH184" s="72" t="b">
        <v>1</v>
      </c>
      <c r="AI184" s="72" t="b">
        <v>1</v>
      </c>
      <c r="AJ184" s="72" t="b">
        <v>1</v>
      </c>
      <c r="AK184" s="72" t="b">
        <v>0</v>
      </c>
      <c r="AL184" s="72" t="b">
        <v>0</v>
      </c>
      <c r="AM184" s="72" t="b">
        <v>1</v>
      </c>
      <c r="AN184" s="72" t="b">
        <v>1</v>
      </c>
      <c r="AO184" s="72" t="b">
        <v>1</v>
      </c>
      <c r="AP184" s="70"/>
      <c r="AQ184" s="54">
        <f t="shared" si="7"/>
        <v>7</v>
      </c>
    </row>
    <row r="185">
      <c r="A185" s="70" t="s">
        <v>679</v>
      </c>
      <c r="B185" s="70"/>
      <c r="C185" s="70"/>
      <c r="D185" s="70" t="s">
        <v>571</v>
      </c>
      <c r="E185" s="71">
        <f t="shared" si="1"/>
        <v>33</v>
      </c>
      <c r="F185" s="71">
        <f t="shared" si="2"/>
        <v>24</v>
      </c>
      <c r="G185" s="52">
        <f t="shared" si="3"/>
        <v>72.72727273</v>
      </c>
      <c r="H185" s="70"/>
      <c r="I185" s="72" t="b">
        <v>1</v>
      </c>
      <c r="J185" s="72" t="b">
        <v>1</v>
      </c>
      <c r="K185" s="72" t="b">
        <v>1</v>
      </c>
      <c r="L185" s="72" t="b">
        <v>1</v>
      </c>
      <c r="M185" s="72" t="b">
        <v>1</v>
      </c>
      <c r="N185" s="72" t="b">
        <v>1</v>
      </c>
      <c r="O185" s="72" t="b">
        <v>0</v>
      </c>
      <c r="P185" s="72" t="b">
        <v>1</v>
      </c>
      <c r="Q185" s="72" t="b">
        <v>1</v>
      </c>
      <c r="R185" s="72" t="b">
        <v>0</v>
      </c>
      <c r="S185" s="72" t="b">
        <v>1</v>
      </c>
      <c r="T185" s="72" t="b">
        <v>1</v>
      </c>
      <c r="U185" s="72" t="b">
        <v>1</v>
      </c>
      <c r="V185" s="72" t="b">
        <v>1</v>
      </c>
      <c r="W185" s="72" t="b">
        <v>1</v>
      </c>
      <c r="X185" s="72" t="b">
        <v>1</v>
      </c>
      <c r="Y185" s="72" t="b">
        <v>0</v>
      </c>
      <c r="Z185" s="72" t="b">
        <v>1</v>
      </c>
      <c r="AA185" s="72" t="b">
        <v>1</v>
      </c>
      <c r="AB185" s="72" t="b">
        <v>1</v>
      </c>
      <c r="AC185" s="72" t="b">
        <v>1</v>
      </c>
      <c r="AD185" s="72" t="b">
        <v>1</v>
      </c>
      <c r="AE185" s="72" t="b">
        <v>0</v>
      </c>
      <c r="AF185" s="72" t="b">
        <v>1</v>
      </c>
      <c r="AG185" s="72" t="b">
        <v>1</v>
      </c>
      <c r="AH185" s="72" t="b">
        <v>1</v>
      </c>
      <c r="AI185" s="72" t="b">
        <v>1</v>
      </c>
      <c r="AJ185" s="72" t="b">
        <v>1</v>
      </c>
      <c r="AK185" s="72" t="b">
        <v>0</v>
      </c>
      <c r="AL185" s="72" t="b">
        <v>0</v>
      </c>
      <c r="AM185" s="72" t="b">
        <v>0</v>
      </c>
      <c r="AN185" s="72" t="b">
        <v>0</v>
      </c>
      <c r="AO185" s="72" t="b">
        <v>0</v>
      </c>
      <c r="AP185" s="70"/>
      <c r="AQ185" s="54">
        <f t="shared" si="7"/>
        <v>4</v>
      </c>
    </row>
    <row r="186">
      <c r="A186" s="70" t="s">
        <v>680</v>
      </c>
      <c r="B186" s="70"/>
      <c r="C186" s="71" t="s">
        <v>681</v>
      </c>
      <c r="D186" s="70" t="s">
        <v>571</v>
      </c>
      <c r="E186" s="71">
        <f t="shared" si="1"/>
        <v>33</v>
      </c>
      <c r="F186" s="71">
        <f t="shared" si="2"/>
        <v>10</v>
      </c>
      <c r="G186" s="55">
        <f t="shared" si="3"/>
        <v>30.3030303</v>
      </c>
      <c r="H186" s="70"/>
      <c r="I186" s="72" t="b">
        <v>0</v>
      </c>
      <c r="J186" s="72" t="b">
        <v>0</v>
      </c>
      <c r="K186" s="72" t="b">
        <v>0</v>
      </c>
      <c r="L186" s="72" t="b">
        <v>0</v>
      </c>
      <c r="M186" s="72" t="b">
        <v>1</v>
      </c>
      <c r="N186" s="72" t="b">
        <v>1</v>
      </c>
      <c r="O186" s="72" t="b">
        <v>0</v>
      </c>
      <c r="P186" s="72" t="b">
        <v>0</v>
      </c>
      <c r="Q186" s="72" t="b">
        <v>0</v>
      </c>
      <c r="R186" s="72" t="b">
        <v>0</v>
      </c>
      <c r="S186" s="72" t="b">
        <v>0</v>
      </c>
      <c r="T186" s="72" t="b">
        <v>0</v>
      </c>
      <c r="U186" s="72" t="b">
        <v>0</v>
      </c>
      <c r="V186" s="72" t="b">
        <v>1</v>
      </c>
      <c r="W186" s="72" t="b">
        <v>0</v>
      </c>
      <c r="X186" s="72" t="b">
        <v>0</v>
      </c>
      <c r="Y186" s="72" t="b">
        <v>0</v>
      </c>
      <c r="Z186" s="72" t="b">
        <v>0</v>
      </c>
      <c r="AA186" s="72" t="b">
        <v>0</v>
      </c>
      <c r="AB186" s="72" t="b">
        <v>0</v>
      </c>
      <c r="AC186" s="72" t="b">
        <v>1</v>
      </c>
      <c r="AD186" s="72" t="b">
        <v>1</v>
      </c>
      <c r="AE186" s="72" t="b">
        <v>0</v>
      </c>
      <c r="AF186" s="72" t="b">
        <v>1</v>
      </c>
      <c r="AG186" s="72" t="b">
        <v>0</v>
      </c>
      <c r="AH186" s="72" t="b">
        <v>1</v>
      </c>
      <c r="AI186" s="72" t="b">
        <v>1</v>
      </c>
      <c r="AJ186" s="72" t="b">
        <v>1</v>
      </c>
      <c r="AK186" s="72" t="b">
        <v>0</v>
      </c>
      <c r="AL186" s="72" t="b">
        <v>0</v>
      </c>
      <c r="AM186" s="72" t="b">
        <v>0</v>
      </c>
      <c r="AN186" s="72" t="b">
        <v>1</v>
      </c>
      <c r="AO186" s="72" t="b">
        <v>0</v>
      </c>
      <c r="AP186" s="70"/>
      <c r="AQ186" s="54">
        <f t="shared" si="7"/>
        <v>4</v>
      </c>
    </row>
    <row r="187">
      <c r="A187" s="70" t="s">
        <v>682</v>
      </c>
      <c r="B187" s="70" t="s">
        <v>683</v>
      </c>
      <c r="C187" s="71" t="s">
        <v>684</v>
      </c>
      <c r="D187" s="70" t="s">
        <v>571</v>
      </c>
      <c r="E187" s="71">
        <f t="shared" si="1"/>
        <v>33</v>
      </c>
      <c r="F187" s="71">
        <f t="shared" si="2"/>
        <v>27</v>
      </c>
      <c r="G187" s="52">
        <f t="shared" si="3"/>
        <v>81.81818182</v>
      </c>
      <c r="H187" s="70"/>
      <c r="I187" s="72" t="b">
        <v>0</v>
      </c>
      <c r="J187" s="72" t="b">
        <v>1</v>
      </c>
      <c r="K187" s="72" t="b">
        <v>1</v>
      </c>
      <c r="L187" s="72" t="b">
        <v>1</v>
      </c>
      <c r="M187" s="72" t="b">
        <v>0</v>
      </c>
      <c r="N187" s="72" t="b">
        <v>1</v>
      </c>
      <c r="O187" s="72" t="b">
        <v>1</v>
      </c>
      <c r="P187" s="72" t="b">
        <v>1</v>
      </c>
      <c r="Q187" s="72" t="b">
        <v>1</v>
      </c>
      <c r="R187" s="72" t="b">
        <v>1</v>
      </c>
      <c r="S187" s="72" t="b">
        <v>1</v>
      </c>
      <c r="T187" s="72" t="b">
        <v>1</v>
      </c>
      <c r="U187" s="72" t="b">
        <v>0</v>
      </c>
      <c r="V187" s="72" t="b">
        <v>0</v>
      </c>
      <c r="W187" s="72" t="b">
        <v>1</v>
      </c>
      <c r="X187" s="72" t="b">
        <v>1</v>
      </c>
      <c r="Y187" s="72" t="b">
        <v>1</v>
      </c>
      <c r="Z187" s="72" t="b">
        <v>1</v>
      </c>
      <c r="AA187" s="72" t="b">
        <v>1</v>
      </c>
      <c r="AB187" s="72" t="b">
        <v>0</v>
      </c>
      <c r="AC187" s="72" t="b">
        <v>1</v>
      </c>
      <c r="AD187" s="72" t="b">
        <v>1</v>
      </c>
      <c r="AE187" s="72" t="b">
        <v>1</v>
      </c>
      <c r="AF187" s="72" t="b">
        <v>1</v>
      </c>
      <c r="AG187" s="72" t="b">
        <v>1</v>
      </c>
      <c r="AH187" s="72" t="b">
        <v>1</v>
      </c>
      <c r="AI187" s="72" t="b">
        <v>1</v>
      </c>
      <c r="AJ187" s="72" t="b">
        <v>1</v>
      </c>
      <c r="AK187" s="72" t="b">
        <v>1</v>
      </c>
      <c r="AL187" s="72" t="b">
        <v>1</v>
      </c>
      <c r="AM187" s="72" t="b">
        <v>0</v>
      </c>
      <c r="AN187" s="72" t="b">
        <v>1</v>
      </c>
      <c r="AO187" s="72" t="b">
        <v>1</v>
      </c>
      <c r="AP187" s="70"/>
      <c r="AQ187" s="54">
        <f t="shared" si="7"/>
        <v>8</v>
      </c>
    </row>
    <row r="188">
      <c r="A188" s="70" t="s">
        <v>685</v>
      </c>
      <c r="B188" s="70"/>
      <c r="C188" s="71">
        <v>8.280765316E9</v>
      </c>
      <c r="D188" s="70" t="s">
        <v>571</v>
      </c>
      <c r="E188" s="71">
        <f t="shared" si="1"/>
        <v>33</v>
      </c>
      <c r="F188" s="71">
        <f t="shared" si="2"/>
        <v>21</v>
      </c>
      <c r="G188" s="55">
        <f t="shared" si="3"/>
        <v>63.63636364</v>
      </c>
      <c r="H188" s="70"/>
      <c r="I188" s="72" t="b">
        <v>1</v>
      </c>
      <c r="J188" s="72" t="b">
        <v>1</v>
      </c>
      <c r="K188" s="72" t="b">
        <v>1</v>
      </c>
      <c r="L188" s="72" t="b">
        <v>1</v>
      </c>
      <c r="M188" s="72" t="b">
        <v>1</v>
      </c>
      <c r="N188" s="72" t="b">
        <v>1</v>
      </c>
      <c r="O188" s="72" t="b">
        <v>0</v>
      </c>
      <c r="P188" s="72" t="b">
        <v>0</v>
      </c>
      <c r="Q188" s="72" t="b">
        <v>1</v>
      </c>
      <c r="R188" s="72" t="b">
        <v>1</v>
      </c>
      <c r="S188" s="72" t="b">
        <v>1</v>
      </c>
      <c r="T188" s="72" t="b">
        <v>1</v>
      </c>
      <c r="U188" s="72" t="b">
        <v>1</v>
      </c>
      <c r="V188" s="72" t="b">
        <v>1</v>
      </c>
      <c r="W188" s="72" t="b">
        <v>0</v>
      </c>
      <c r="X188" s="72" t="b">
        <v>0</v>
      </c>
      <c r="Y188" s="72" t="b">
        <v>1</v>
      </c>
      <c r="Z188" s="72" t="b">
        <v>1</v>
      </c>
      <c r="AA188" s="72" t="b">
        <v>1</v>
      </c>
      <c r="AB188" s="72" t="b">
        <v>0</v>
      </c>
      <c r="AC188" s="72" t="b">
        <v>0</v>
      </c>
      <c r="AD188" s="72" t="b">
        <v>0</v>
      </c>
      <c r="AE188" s="72" t="b">
        <v>1</v>
      </c>
      <c r="AF188" s="72" t="b">
        <v>1</v>
      </c>
      <c r="AG188" s="72" t="b">
        <v>1</v>
      </c>
      <c r="AH188" s="72" t="b">
        <v>1</v>
      </c>
      <c r="AI188" s="72" t="b">
        <v>1</v>
      </c>
      <c r="AJ188" s="72" t="b">
        <v>1</v>
      </c>
      <c r="AK188" s="72" t="b">
        <v>0</v>
      </c>
      <c r="AL188" s="72" t="b">
        <v>0</v>
      </c>
      <c r="AM188" s="72" t="b">
        <v>0</v>
      </c>
      <c r="AN188" s="72" t="b">
        <v>0</v>
      </c>
      <c r="AO188" s="72" t="b">
        <v>0</v>
      </c>
      <c r="AP188" s="70"/>
      <c r="AQ188" s="54">
        <f t="shared" si="7"/>
        <v>4</v>
      </c>
    </row>
    <row r="189">
      <c r="A189" s="70" t="s">
        <v>686</v>
      </c>
      <c r="B189" s="70"/>
      <c r="C189" s="71" t="s">
        <v>687</v>
      </c>
      <c r="D189" s="70" t="s">
        <v>571</v>
      </c>
      <c r="E189" s="71">
        <f t="shared" si="1"/>
        <v>33</v>
      </c>
      <c r="F189" s="71">
        <f t="shared" si="2"/>
        <v>28</v>
      </c>
      <c r="G189" s="52">
        <f t="shared" si="3"/>
        <v>84.84848485</v>
      </c>
      <c r="H189" s="70"/>
      <c r="I189" s="72" t="b">
        <v>1</v>
      </c>
      <c r="J189" s="72" t="b">
        <v>1</v>
      </c>
      <c r="K189" s="72" t="b">
        <v>0</v>
      </c>
      <c r="L189" s="72" t="b">
        <v>1</v>
      </c>
      <c r="M189" s="72" t="b">
        <v>1</v>
      </c>
      <c r="N189" s="72" t="b">
        <v>1</v>
      </c>
      <c r="O189" s="72" t="b">
        <v>1</v>
      </c>
      <c r="P189" s="72" t="b">
        <v>1</v>
      </c>
      <c r="Q189" s="72" t="b">
        <v>1</v>
      </c>
      <c r="R189" s="72" t="b">
        <v>1</v>
      </c>
      <c r="S189" s="72" t="b">
        <v>1</v>
      </c>
      <c r="T189" s="72" t="b">
        <v>1</v>
      </c>
      <c r="U189" s="72" t="b">
        <v>0</v>
      </c>
      <c r="V189" s="72" t="b">
        <v>0</v>
      </c>
      <c r="W189" s="72" t="b">
        <v>1</v>
      </c>
      <c r="X189" s="72" t="b">
        <v>1</v>
      </c>
      <c r="Y189" s="72" t="b">
        <v>1</v>
      </c>
      <c r="Z189" s="72" t="b">
        <v>1</v>
      </c>
      <c r="AA189" s="72" t="b">
        <v>1</v>
      </c>
      <c r="AB189" s="72" t="b">
        <v>0</v>
      </c>
      <c r="AC189" s="72" t="b">
        <v>1</v>
      </c>
      <c r="AD189" s="72" t="b">
        <v>1</v>
      </c>
      <c r="AE189" s="72" t="b">
        <v>1</v>
      </c>
      <c r="AF189" s="72" t="b">
        <v>1</v>
      </c>
      <c r="AG189" s="72" t="b">
        <v>1</v>
      </c>
      <c r="AH189" s="72" t="b">
        <v>0</v>
      </c>
      <c r="AI189" s="72" t="b">
        <v>1</v>
      </c>
      <c r="AJ189" s="72" t="b">
        <v>1</v>
      </c>
      <c r="AK189" s="72" t="b">
        <v>1</v>
      </c>
      <c r="AL189" s="72" t="b">
        <v>1</v>
      </c>
      <c r="AM189" s="72" t="b">
        <v>1</v>
      </c>
      <c r="AN189" s="72" t="b">
        <v>1</v>
      </c>
      <c r="AO189" s="72" t="b">
        <v>1</v>
      </c>
      <c r="AP189" s="70"/>
      <c r="AQ189" s="54">
        <f t="shared" si="7"/>
        <v>8</v>
      </c>
    </row>
    <row r="190">
      <c r="A190" s="70" t="s">
        <v>688</v>
      </c>
      <c r="B190" s="70"/>
      <c r="C190" s="71">
        <v>7.982633471E9</v>
      </c>
      <c r="D190" s="70" t="s">
        <v>571</v>
      </c>
      <c r="E190" s="71">
        <f t="shared" si="1"/>
        <v>33</v>
      </c>
      <c r="F190" s="71">
        <f t="shared" si="2"/>
        <v>2</v>
      </c>
      <c r="G190" s="55">
        <f t="shared" si="3"/>
        <v>6.060606061</v>
      </c>
      <c r="H190" s="70"/>
      <c r="I190" s="72" t="b">
        <v>0</v>
      </c>
      <c r="J190" s="72" t="b">
        <v>0</v>
      </c>
      <c r="K190" s="72" t="b">
        <v>0</v>
      </c>
      <c r="L190" s="72" t="b">
        <v>0</v>
      </c>
      <c r="M190" s="72" t="b">
        <v>0</v>
      </c>
      <c r="N190" s="72" t="b">
        <v>0</v>
      </c>
      <c r="O190" s="72" t="b">
        <v>0</v>
      </c>
      <c r="P190" s="72" t="b">
        <v>0</v>
      </c>
      <c r="Q190" s="72" t="b">
        <v>0</v>
      </c>
      <c r="R190" s="72" t="b">
        <v>0</v>
      </c>
      <c r="S190" s="72" t="b">
        <v>0</v>
      </c>
      <c r="T190" s="72" t="b">
        <v>0</v>
      </c>
      <c r="U190" s="72" t="b">
        <v>0</v>
      </c>
      <c r="V190" s="72" t="b">
        <v>0</v>
      </c>
      <c r="W190" s="72" t="b">
        <v>0</v>
      </c>
      <c r="X190" s="72" t="b">
        <v>0</v>
      </c>
      <c r="Y190" s="72" t="b">
        <v>0</v>
      </c>
      <c r="Z190" s="72" t="b">
        <v>0</v>
      </c>
      <c r="AA190" s="72" t="b">
        <v>0</v>
      </c>
      <c r="AB190" s="72" t="b">
        <v>1</v>
      </c>
      <c r="AC190" s="72" t="b">
        <v>0</v>
      </c>
      <c r="AD190" s="72" t="b">
        <v>0</v>
      </c>
      <c r="AE190" s="72" t="b">
        <v>0</v>
      </c>
      <c r="AF190" s="72" t="b">
        <v>0</v>
      </c>
      <c r="AG190" s="72" t="b">
        <v>1</v>
      </c>
      <c r="AH190" s="72" t="b">
        <v>0</v>
      </c>
      <c r="AI190" s="72" t="b">
        <v>0</v>
      </c>
      <c r="AJ190" s="72" t="b">
        <v>0</v>
      </c>
      <c r="AK190" s="72" t="b">
        <v>0</v>
      </c>
      <c r="AL190" s="72" t="b">
        <v>0</v>
      </c>
      <c r="AM190" s="72" t="b">
        <v>0</v>
      </c>
      <c r="AN190" s="72" t="b">
        <v>0</v>
      </c>
      <c r="AO190" s="72" t="b">
        <v>0</v>
      </c>
      <c r="AP190" s="70"/>
      <c r="AQ190" s="54">
        <f t="shared" si="7"/>
        <v>1</v>
      </c>
    </row>
    <row r="191">
      <c r="A191" s="70" t="s">
        <v>689</v>
      </c>
      <c r="B191" s="70" t="s">
        <v>690</v>
      </c>
      <c r="C191" s="71" t="s">
        <v>691</v>
      </c>
      <c r="D191" s="70" t="s">
        <v>571</v>
      </c>
      <c r="E191" s="71">
        <f t="shared" si="1"/>
        <v>33</v>
      </c>
      <c r="F191" s="71">
        <f t="shared" si="2"/>
        <v>3</v>
      </c>
      <c r="G191" s="55">
        <f t="shared" si="3"/>
        <v>9.090909091</v>
      </c>
      <c r="H191" s="70"/>
      <c r="I191" s="72" t="b">
        <v>0</v>
      </c>
      <c r="J191" s="72" t="b">
        <v>0</v>
      </c>
      <c r="K191" s="72" t="b">
        <v>0</v>
      </c>
      <c r="L191" s="72" t="b">
        <v>0</v>
      </c>
      <c r="M191" s="72" t="b">
        <v>0</v>
      </c>
      <c r="N191" s="72" t="b">
        <v>0</v>
      </c>
      <c r="O191" s="72" t="b">
        <v>0</v>
      </c>
      <c r="P191" s="72" t="b">
        <v>0</v>
      </c>
      <c r="Q191" s="72" t="b">
        <v>0</v>
      </c>
      <c r="R191" s="72" t="b">
        <v>0</v>
      </c>
      <c r="S191" s="72" t="b">
        <v>0</v>
      </c>
      <c r="T191" s="72" t="b">
        <v>0</v>
      </c>
      <c r="U191" s="72" t="b">
        <v>0</v>
      </c>
      <c r="V191" s="72" t="b">
        <v>0</v>
      </c>
      <c r="W191" s="72" t="b">
        <v>0</v>
      </c>
      <c r="X191" s="72" t="b">
        <v>0</v>
      </c>
      <c r="Y191" s="72" t="b">
        <v>0</v>
      </c>
      <c r="Z191" s="72" t="b">
        <v>0</v>
      </c>
      <c r="AA191" s="72" t="b">
        <v>0</v>
      </c>
      <c r="AB191" s="72" t="b">
        <v>0</v>
      </c>
      <c r="AC191" s="72" t="b">
        <v>0</v>
      </c>
      <c r="AD191" s="72" t="b">
        <v>0</v>
      </c>
      <c r="AE191" s="72" t="b">
        <v>0</v>
      </c>
      <c r="AF191" s="72" t="b">
        <v>0</v>
      </c>
      <c r="AG191" s="72" t="b">
        <v>0</v>
      </c>
      <c r="AH191" s="72" t="b">
        <v>0</v>
      </c>
      <c r="AI191" s="72" t="b">
        <v>1</v>
      </c>
      <c r="AJ191" s="72" t="b">
        <v>0</v>
      </c>
      <c r="AK191" s="72" t="b">
        <v>0</v>
      </c>
      <c r="AL191" s="72" t="b">
        <v>1</v>
      </c>
      <c r="AM191" s="72" t="b">
        <v>0</v>
      </c>
      <c r="AN191" s="72" t="b">
        <v>0</v>
      </c>
      <c r="AO191" s="72" t="b">
        <v>1</v>
      </c>
      <c r="AP191" s="70"/>
      <c r="AQ191" s="54">
        <f t="shared" si="7"/>
        <v>3</v>
      </c>
    </row>
    <row r="192">
      <c r="A192" s="70" t="s">
        <v>692</v>
      </c>
      <c r="B192" s="70" t="s">
        <v>693</v>
      </c>
      <c r="C192" s="71" t="s">
        <v>694</v>
      </c>
      <c r="D192" s="70" t="s">
        <v>571</v>
      </c>
      <c r="E192" s="71">
        <f t="shared" si="1"/>
        <v>33</v>
      </c>
      <c r="F192" s="71">
        <f t="shared" si="2"/>
        <v>16</v>
      </c>
      <c r="G192" s="55">
        <f t="shared" si="3"/>
        <v>48.48484848</v>
      </c>
      <c r="H192" s="70"/>
      <c r="I192" s="72" t="b">
        <v>0</v>
      </c>
      <c r="J192" s="72" t="b">
        <v>1</v>
      </c>
      <c r="K192" s="72" t="b">
        <v>1</v>
      </c>
      <c r="L192" s="72" t="b">
        <v>1</v>
      </c>
      <c r="M192" s="72" t="b">
        <v>1</v>
      </c>
      <c r="N192" s="72" t="b">
        <v>1</v>
      </c>
      <c r="O192" s="72" t="b">
        <v>0</v>
      </c>
      <c r="P192" s="72" t="b">
        <v>0</v>
      </c>
      <c r="Q192" s="72" t="b">
        <v>0</v>
      </c>
      <c r="R192" s="72" t="b">
        <v>0</v>
      </c>
      <c r="S192" s="72" t="b">
        <v>0</v>
      </c>
      <c r="T192" s="72" t="b">
        <v>1</v>
      </c>
      <c r="U192" s="72" t="b">
        <v>0</v>
      </c>
      <c r="V192" s="72" t="b">
        <v>1</v>
      </c>
      <c r="W192" s="72" t="b">
        <v>1</v>
      </c>
      <c r="X192" s="72" t="b">
        <v>1</v>
      </c>
      <c r="Y192" s="72" t="b">
        <v>0</v>
      </c>
      <c r="Z192" s="72" t="b">
        <v>0</v>
      </c>
      <c r="AA192" s="72" t="b">
        <v>1</v>
      </c>
      <c r="AB192" s="72" t="b">
        <v>1</v>
      </c>
      <c r="AC192" s="72" t="b">
        <v>1</v>
      </c>
      <c r="AD192" s="72" t="b">
        <v>1</v>
      </c>
      <c r="AE192" s="72" t="b">
        <v>0</v>
      </c>
      <c r="AF192" s="72" t="b">
        <v>1</v>
      </c>
      <c r="AG192" s="72" t="b">
        <v>0</v>
      </c>
      <c r="AH192" s="72" t="b">
        <v>0</v>
      </c>
      <c r="AI192" s="72" t="b">
        <v>1</v>
      </c>
      <c r="AJ192" s="72" t="b">
        <v>1</v>
      </c>
      <c r="AK192" s="72" t="b">
        <v>0</v>
      </c>
      <c r="AL192" s="72" t="b">
        <v>0</v>
      </c>
      <c r="AM192" s="72" t="b">
        <v>0</v>
      </c>
      <c r="AN192" s="72" t="b">
        <v>0</v>
      </c>
      <c r="AO192" s="72" t="b">
        <v>0</v>
      </c>
      <c r="AP192" s="70"/>
      <c r="AQ192" s="54">
        <f t="shared" si="7"/>
        <v>2</v>
      </c>
    </row>
    <row r="193">
      <c r="A193" s="70" t="s">
        <v>695</v>
      </c>
      <c r="B193" s="70" t="s">
        <v>696</v>
      </c>
      <c r="C193" s="71" t="s">
        <v>697</v>
      </c>
      <c r="D193" s="70" t="s">
        <v>571</v>
      </c>
      <c r="E193" s="71">
        <f t="shared" si="1"/>
        <v>33</v>
      </c>
      <c r="F193" s="71">
        <f t="shared" si="2"/>
        <v>31</v>
      </c>
      <c r="G193" s="52">
        <f t="shared" si="3"/>
        <v>93.93939394</v>
      </c>
      <c r="H193" s="70"/>
      <c r="I193" s="72" t="b">
        <v>1</v>
      </c>
      <c r="J193" s="72" t="b">
        <v>1</v>
      </c>
      <c r="K193" s="72" t="b">
        <v>1</v>
      </c>
      <c r="L193" s="72" t="b">
        <v>1</v>
      </c>
      <c r="M193" s="72" t="b">
        <v>1</v>
      </c>
      <c r="N193" s="72" t="b">
        <v>1</v>
      </c>
      <c r="O193" s="72" t="b">
        <v>1</v>
      </c>
      <c r="P193" s="72" t="b">
        <v>1</v>
      </c>
      <c r="Q193" s="72" t="b">
        <v>1</v>
      </c>
      <c r="R193" s="72" t="b">
        <v>1</v>
      </c>
      <c r="S193" s="72" t="b">
        <v>1</v>
      </c>
      <c r="T193" s="72" t="b">
        <v>0</v>
      </c>
      <c r="U193" s="72" t="b">
        <v>1</v>
      </c>
      <c r="V193" s="72" t="b">
        <v>1</v>
      </c>
      <c r="W193" s="72" t="b">
        <v>1</v>
      </c>
      <c r="X193" s="72" t="b">
        <v>1</v>
      </c>
      <c r="Y193" s="72" t="b">
        <v>1</v>
      </c>
      <c r="Z193" s="72" t="b">
        <v>0</v>
      </c>
      <c r="AA193" s="72" t="b">
        <v>1</v>
      </c>
      <c r="AB193" s="72" t="b">
        <v>1</v>
      </c>
      <c r="AC193" s="72" t="b">
        <v>1</v>
      </c>
      <c r="AD193" s="72" t="b">
        <v>1</v>
      </c>
      <c r="AE193" s="72" t="b">
        <v>1</v>
      </c>
      <c r="AF193" s="72" t="b">
        <v>1</v>
      </c>
      <c r="AG193" s="72" t="b">
        <v>1</v>
      </c>
      <c r="AH193" s="72" t="b">
        <v>1</v>
      </c>
      <c r="AI193" s="72" t="b">
        <v>1</v>
      </c>
      <c r="AJ193" s="72" t="b">
        <v>1</v>
      </c>
      <c r="AK193" s="72" t="b">
        <v>1</v>
      </c>
      <c r="AL193" s="72" t="b">
        <v>1</v>
      </c>
      <c r="AM193" s="72" t="b">
        <v>1</v>
      </c>
      <c r="AN193" s="72" t="b">
        <v>1</v>
      </c>
      <c r="AO193" s="72" t="b">
        <v>1</v>
      </c>
      <c r="AP193" s="70"/>
      <c r="AQ193" s="54">
        <f t="shared" si="7"/>
        <v>9</v>
      </c>
    </row>
    <row r="194">
      <c r="A194" s="70" t="s">
        <v>698</v>
      </c>
      <c r="B194" s="70"/>
      <c r="C194" s="71" t="s">
        <v>699</v>
      </c>
      <c r="D194" s="70" t="s">
        <v>571</v>
      </c>
      <c r="E194" s="71">
        <f t="shared" si="1"/>
        <v>33</v>
      </c>
      <c r="F194" s="71">
        <f t="shared" si="2"/>
        <v>7</v>
      </c>
      <c r="G194" s="55">
        <f t="shared" si="3"/>
        <v>21.21212121</v>
      </c>
      <c r="H194" s="70"/>
      <c r="I194" s="72" t="b">
        <v>1</v>
      </c>
      <c r="J194" s="72" t="b">
        <v>0</v>
      </c>
      <c r="K194" s="72" t="b">
        <v>0</v>
      </c>
      <c r="L194" s="72" t="b">
        <v>0</v>
      </c>
      <c r="M194" s="72" t="b">
        <v>0</v>
      </c>
      <c r="N194" s="72" t="b">
        <v>0</v>
      </c>
      <c r="O194" s="72" t="b">
        <v>0</v>
      </c>
      <c r="P194" s="72" t="b">
        <v>0</v>
      </c>
      <c r="Q194" s="72" t="b">
        <v>0</v>
      </c>
      <c r="R194" s="72" t="b">
        <v>0</v>
      </c>
      <c r="S194" s="72" t="b">
        <v>0</v>
      </c>
      <c r="T194" s="72" t="b">
        <v>0</v>
      </c>
      <c r="U194" s="72" t="b">
        <v>0</v>
      </c>
      <c r="V194" s="72" t="b">
        <v>0</v>
      </c>
      <c r="W194" s="72" t="b">
        <v>0</v>
      </c>
      <c r="X194" s="72" t="b">
        <v>1</v>
      </c>
      <c r="Y194" s="72" t="b">
        <v>0</v>
      </c>
      <c r="Z194" s="72" t="b">
        <v>0</v>
      </c>
      <c r="AA194" s="72" t="b">
        <v>0</v>
      </c>
      <c r="AB194" s="72" t="b">
        <v>0</v>
      </c>
      <c r="AC194" s="72" t="b">
        <v>0</v>
      </c>
      <c r="AD194" s="72" t="b">
        <v>0</v>
      </c>
      <c r="AE194" s="72" t="b">
        <v>0</v>
      </c>
      <c r="AF194" s="72" t="b">
        <v>0</v>
      </c>
      <c r="AG194" s="72" t="b">
        <v>1</v>
      </c>
      <c r="AH194" s="72" t="b">
        <v>0</v>
      </c>
      <c r="AI194" s="72" t="b">
        <v>0</v>
      </c>
      <c r="AJ194" s="72" t="b">
        <v>1</v>
      </c>
      <c r="AK194" s="72" t="b">
        <v>1</v>
      </c>
      <c r="AL194" s="72" t="b">
        <v>0</v>
      </c>
      <c r="AM194" s="72" t="b">
        <v>1</v>
      </c>
      <c r="AN194" s="72" t="b">
        <v>1</v>
      </c>
      <c r="AO194" s="72" t="b">
        <v>0</v>
      </c>
      <c r="AP194" s="70"/>
      <c r="AQ194" s="54">
        <f t="shared" si="7"/>
        <v>5</v>
      </c>
    </row>
    <row r="195">
      <c r="A195" s="70" t="s">
        <v>700</v>
      </c>
      <c r="B195" s="70" t="s">
        <v>701</v>
      </c>
      <c r="C195" s="71">
        <v>9.310488986E9</v>
      </c>
      <c r="D195" s="70" t="s">
        <v>571</v>
      </c>
      <c r="E195" s="71">
        <f t="shared" si="1"/>
        <v>33</v>
      </c>
      <c r="F195" s="71">
        <f t="shared" si="2"/>
        <v>21</v>
      </c>
      <c r="G195" s="55">
        <f t="shared" si="3"/>
        <v>63.63636364</v>
      </c>
      <c r="H195" s="70"/>
      <c r="I195" s="72" t="b">
        <v>1</v>
      </c>
      <c r="J195" s="72" t="b">
        <v>1</v>
      </c>
      <c r="K195" s="72" t="b">
        <v>1</v>
      </c>
      <c r="L195" s="72" t="b">
        <v>1</v>
      </c>
      <c r="M195" s="72" t="b">
        <v>0</v>
      </c>
      <c r="N195" s="72" t="b">
        <v>0</v>
      </c>
      <c r="O195" s="72" t="b">
        <v>0</v>
      </c>
      <c r="P195" s="72" t="b">
        <v>1</v>
      </c>
      <c r="Q195" s="72" t="b">
        <v>1</v>
      </c>
      <c r="R195" s="72" t="b">
        <v>1</v>
      </c>
      <c r="S195" s="72" t="b">
        <v>1</v>
      </c>
      <c r="T195" s="72" t="b">
        <v>1</v>
      </c>
      <c r="U195" s="72" t="b">
        <v>0</v>
      </c>
      <c r="V195" s="72" t="b">
        <v>0</v>
      </c>
      <c r="W195" s="72" t="b">
        <v>0</v>
      </c>
      <c r="X195" s="72" t="b">
        <v>1</v>
      </c>
      <c r="Y195" s="72" t="b">
        <v>0</v>
      </c>
      <c r="Z195" s="72" t="b">
        <v>0</v>
      </c>
      <c r="AA195" s="72" t="b">
        <v>1</v>
      </c>
      <c r="AB195" s="72" t="b">
        <v>1</v>
      </c>
      <c r="AC195" s="72" t="b">
        <v>0</v>
      </c>
      <c r="AD195" s="72" t="b">
        <v>0</v>
      </c>
      <c r="AE195" s="72" t="b">
        <v>0</v>
      </c>
      <c r="AF195" s="72" t="b">
        <v>0</v>
      </c>
      <c r="AG195" s="72" t="b">
        <v>1</v>
      </c>
      <c r="AH195" s="72" t="b">
        <v>1</v>
      </c>
      <c r="AI195" s="72" t="b">
        <v>1</v>
      </c>
      <c r="AJ195" s="72" t="b">
        <v>1</v>
      </c>
      <c r="AK195" s="72" t="b">
        <v>1</v>
      </c>
      <c r="AL195" s="72" t="b">
        <v>1</v>
      </c>
      <c r="AM195" s="72" t="b">
        <v>1</v>
      </c>
      <c r="AN195" s="72" t="b">
        <v>1</v>
      </c>
      <c r="AO195" s="72" t="b">
        <v>1</v>
      </c>
      <c r="AP195" s="70"/>
      <c r="AQ195" s="49"/>
    </row>
    <row r="196">
      <c r="A196" s="70" t="s">
        <v>702</v>
      </c>
      <c r="B196" s="70"/>
      <c r="C196" s="71" t="s">
        <v>703</v>
      </c>
      <c r="D196" s="70" t="s">
        <v>571</v>
      </c>
      <c r="E196" s="71">
        <f t="shared" si="1"/>
        <v>33</v>
      </c>
      <c r="F196" s="71">
        <f t="shared" si="2"/>
        <v>2</v>
      </c>
      <c r="G196" s="55">
        <f t="shared" si="3"/>
        <v>6.060606061</v>
      </c>
      <c r="H196" s="70"/>
      <c r="I196" s="72" t="b">
        <v>0</v>
      </c>
      <c r="J196" s="72" t="b">
        <v>0</v>
      </c>
      <c r="K196" s="72" t="b">
        <v>0</v>
      </c>
      <c r="L196" s="72" t="b">
        <v>0</v>
      </c>
      <c r="M196" s="72" t="b">
        <v>0</v>
      </c>
      <c r="N196" s="72" t="b">
        <v>0</v>
      </c>
      <c r="O196" s="72" t="b">
        <v>0</v>
      </c>
      <c r="P196" s="72" t="b">
        <v>0</v>
      </c>
      <c r="Q196" s="72" t="b">
        <v>0</v>
      </c>
      <c r="R196" s="72" t="b">
        <v>0</v>
      </c>
      <c r="S196" s="72" t="b">
        <v>0</v>
      </c>
      <c r="T196" s="72" t="b">
        <v>0</v>
      </c>
      <c r="U196" s="72" t="b">
        <v>0</v>
      </c>
      <c r="V196" s="72" t="b">
        <v>0</v>
      </c>
      <c r="W196" s="72" t="b">
        <v>0</v>
      </c>
      <c r="X196" s="72" t="b">
        <v>0</v>
      </c>
      <c r="Y196" s="72" t="b">
        <v>0</v>
      </c>
      <c r="Z196" s="72" t="b">
        <v>0</v>
      </c>
      <c r="AA196" s="72" t="b">
        <v>0</v>
      </c>
      <c r="AB196" s="72" t="b">
        <v>0</v>
      </c>
      <c r="AC196" s="72" t="b">
        <v>0</v>
      </c>
      <c r="AD196" s="72" t="b">
        <v>0</v>
      </c>
      <c r="AE196" s="72" t="b">
        <v>0</v>
      </c>
      <c r="AF196" s="72" t="b">
        <v>1</v>
      </c>
      <c r="AG196" s="72" t="b">
        <v>0</v>
      </c>
      <c r="AH196" s="72" t="b">
        <v>0</v>
      </c>
      <c r="AI196" s="72" t="b">
        <v>0</v>
      </c>
      <c r="AJ196" s="72" t="b">
        <v>0</v>
      </c>
      <c r="AK196" s="72" t="b">
        <v>0</v>
      </c>
      <c r="AL196" s="72" t="b">
        <v>0</v>
      </c>
      <c r="AM196" s="72" t="b">
        <v>0</v>
      </c>
      <c r="AN196" s="72" t="b">
        <v>0</v>
      </c>
      <c r="AO196" s="72" t="b">
        <v>1</v>
      </c>
      <c r="AP196" s="70"/>
      <c r="AQ196" s="54">
        <f t="shared" ref="AQ196:AQ235" si="8">COUNTIF(AG196:AO196,TRUE)</f>
        <v>1</v>
      </c>
    </row>
    <row r="197">
      <c r="A197" s="70" t="s">
        <v>704</v>
      </c>
      <c r="B197" s="70" t="s">
        <v>705</v>
      </c>
      <c r="C197" s="71" t="s">
        <v>706</v>
      </c>
      <c r="D197" s="70" t="s">
        <v>571</v>
      </c>
      <c r="E197" s="71">
        <f t="shared" si="1"/>
        <v>33</v>
      </c>
      <c r="F197" s="71">
        <f t="shared" si="2"/>
        <v>8</v>
      </c>
      <c r="G197" s="55">
        <f t="shared" si="3"/>
        <v>24.24242424</v>
      </c>
      <c r="H197" s="70"/>
      <c r="I197" s="72" t="b">
        <v>0</v>
      </c>
      <c r="J197" s="72" t="b">
        <v>0</v>
      </c>
      <c r="K197" s="72" t="b">
        <v>0</v>
      </c>
      <c r="L197" s="72" t="b">
        <v>0</v>
      </c>
      <c r="M197" s="72" t="b">
        <v>0</v>
      </c>
      <c r="N197" s="72" t="b">
        <v>0</v>
      </c>
      <c r="O197" s="72" t="b">
        <v>0</v>
      </c>
      <c r="P197" s="72" t="b">
        <v>0</v>
      </c>
      <c r="Q197" s="72" t="b">
        <v>0</v>
      </c>
      <c r="R197" s="72" t="b">
        <v>0</v>
      </c>
      <c r="S197" s="72" t="b">
        <v>0</v>
      </c>
      <c r="T197" s="72" t="b">
        <v>0</v>
      </c>
      <c r="U197" s="72" t="b">
        <v>0</v>
      </c>
      <c r="V197" s="72" t="b">
        <v>0</v>
      </c>
      <c r="W197" s="72" t="b">
        <v>0</v>
      </c>
      <c r="X197" s="72" t="b">
        <v>0</v>
      </c>
      <c r="Y197" s="72" t="b">
        <v>0</v>
      </c>
      <c r="Z197" s="72" t="b">
        <v>0</v>
      </c>
      <c r="AA197" s="72" t="b">
        <v>0</v>
      </c>
      <c r="AB197" s="72" t="b">
        <v>0</v>
      </c>
      <c r="AC197" s="72" t="b">
        <v>0</v>
      </c>
      <c r="AD197" s="72" t="b">
        <v>0</v>
      </c>
      <c r="AE197" s="72" t="b">
        <v>1</v>
      </c>
      <c r="AF197" s="72" t="b">
        <v>1</v>
      </c>
      <c r="AG197" s="72" t="b">
        <v>1</v>
      </c>
      <c r="AH197" s="72" t="b">
        <v>1</v>
      </c>
      <c r="AI197" s="72" t="b">
        <v>0</v>
      </c>
      <c r="AJ197" s="72" t="b">
        <v>1</v>
      </c>
      <c r="AK197" s="72" t="b">
        <v>1</v>
      </c>
      <c r="AL197" s="72" t="b">
        <v>0</v>
      </c>
      <c r="AM197" s="72" t="b">
        <v>1</v>
      </c>
      <c r="AN197" s="72" t="b">
        <v>0</v>
      </c>
      <c r="AO197" s="72" t="b">
        <v>1</v>
      </c>
      <c r="AP197" s="70"/>
      <c r="AQ197" s="54">
        <f t="shared" si="8"/>
        <v>6</v>
      </c>
    </row>
    <row r="198">
      <c r="A198" s="70" t="s">
        <v>707</v>
      </c>
      <c r="B198" s="70" t="s">
        <v>708</v>
      </c>
      <c r="C198" s="71">
        <v>9.044380803E9</v>
      </c>
      <c r="D198" s="70" t="s">
        <v>571</v>
      </c>
      <c r="E198" s="71">
        <f t="shared" si="1"/>
        <v>33</v>
      </c>
      <c r="F198" s="71">
        <f t="shared" si="2"/>
        <v>25</v>
      </c>
      <c r="G198" s="52">
        <f t="shared" si="3"/>
        <v>75.75757576</v>
      </c>
      <c r="H198" s="70"/>
      <c r="I198" s="72" t="b">
        <v>1</v>
      </c>
      <c r="J198" s="72" t="b">
        <v>1</v>
      </c>
      <c r="K198" s="72" t="b">
        <v>0</v>
      </c>
      <c r="L198" s="72" t="b">
        <v>0</v>
      </c>
      <c r="M198" s="72" t="b">
        <v>1</v>
      </c>
      <c r="N198" s="72" t="b">
        <v>1</v>
      </c>
      <c r="O198" s="72" t="b">
        <v>1</v>
      </c>
      <c r="P198" s="72" t="b">
        <v>0</v>
      </c>
      <c r="Q198" s="72" t="b">
        <v>0</v>
      </c>
      <c r="R198" s="72" t="b">
        <v>0</v>
      </c>
      <c r="S198" s="72" t="b">
        <v>1</v>
      </c>
      <c r="T198" s="72" t="b">
        <v>1</v>
      </c>
      <c r="U198" s="72" t="b">
        <v>1</v>
      </c>
      <c r="V198" s="72" t="b">
        <v>0</v>
      </c>
      <c r="W198" s="72" t="b">
        <v>1</v>
      </c>
      <c r="X198" s="72" t="b">
        <v>0</v>
      </c>
      <c r="Y198" s="72" t="b">
        <v>1</v>
      </c>
      <c r="Z198" s="72" t="b">
        <v>1</v>
      </c>
      <c r="AA198" s="72" t="b">
        <v>1</v>
      </c>
      <c r="AB198" s="72" t="b">
        <v>0</v>
      </c>
      <c r="AC198" s="72" t="b">
        <v>1</v>
      </c>
      <c r="AD198" s="72" t="b">
        <v>1</v>
      </c>
      <c r="AE198" s="72" t="b">
        <v>1</v>
      </c>
      <c r="AF198" s="72" t="b">
        <v>1</v>
      </c>
      <c r="AG198" s="72" t="b">
        <v>1</v>
      </c>
      <c r="AH198" s="72" t="b">
        <v>1</v>
      </c>
      <c r="AI198" s="72" t="b">
        <v>1</v>
      </c>
      <c r="AJ198" s="72" t="b">
        <v>1</v>
      </c>
      <c r="AK198" s="72" t="b">
        <v>1</v>
      </c>
      <c r="AL198" s="72" t="b">
        <v>1</v>
      </c>
      <c r="AM198" s="72" t="b">
        <v>1</v>
      </c>
      <c r="AN198" s="72" t="b">
        <v>1</v>
      </c>
      <c r="AO198" s="72" t="b">
        <v>1</v>
      </c>
      <c r="AP198" s="70"/>
      <c r="AQ198" s="54">
        <f t="shared" si="8"/>
        <v>9</v>
      </c>
    </row>
    <row r="199">
      <c r="A199" s="70" t="s">
        <v>709</v>
      </c>
      <c r="B199" s="70" t="s">
        <v>710</v>
      </c>
      <c r="C199" s="71" t="s">
        <v>711</v>
      </c>
      <c r="D199" s="70" t="s">
        <v>571</v>
      </c>
      <c r="E199" s="71">
        <f t="shared" si="1"/>
        <v>33</v>
      </c>
      <c r="F199" s="71">
        <f t="shared" si="2"/>
        <v>26</v>
      </c>
      <c r="G199" s="52">
        <f t="shared" si="3"/>
        <v>78.78787879</v>
      </c>
      <c r="H199" s="70"/>
      <c r="I199" s="72" t="b">
        <v>0</v>
      </c>
      <c r="J199" s="72" t="b">
        <v>1</v>
      </c>
      <c r="K199" s="72" t="b">
        <v>1</v>
      </c>
      <c r="L199" s="72" t="b">
        <v>1</v>
      </c>
      <c r="M199" s="72" t="b">
        <v>0</v>
      </c>
      <c r="N199" s="72" t="b">
        <v>1</v>
      </c>
      <c r="O199" s="72" t="b">
        <v>1</v>
      </c>
      <c r="P199" s="72" t="b">
        <v>1</v>
      </c>
      <c r="Q199" s="72" t="b">
        <v>1</v>
      </c>
      <c r="R199" s="72" t="b">
        <v>1</v>
      </c>
      <c r="S199" s="72" t="b">
        <v>1</v>
      </c>
      <c r="T199" s="72" t="b">
        <v>0</v>
      </c>
      <c r="U199" s="72" t="b">
        <v>1</v>
      </c>
      <c r="V199" s="72" t="b">
        <v>1</v>
      </c>
      <c r="W199" s="72" t="b">
        <v>1</v>
      </c>
      <c r="X199" s="72" t="b">
        <v>1</v>
      </c>
      <c r="Y199" s="72" t="b">
        <v>1</v>
      </c>
      <c r="Z199" s="72" t="b">
        <v>1</v>
      </c>
      <c r="AA199" s="72" t="b">
        <v>0</v>
      </c>
      <c r="AB199" s="72" t="b">
        <v>0</v>
      </c>
      <c r="AC199" s="72" t="b">
        <v>0</v>
      </c>
      <c r="AD199" s="72" t="b">
        <v>1</v>
      </c>
      <c r="AE199" s="72" t="b">
        <v>1</v>
      </c>
      <c r="AF199" s="72" t="b">
        <v>1</v>
      </c>
      <c r="AG199" s="72" t="b">
        <v>1</v>
      </c>
      <c r="AH199" s="72" t="b">
        <v>0</v>
      </c>
      <c r="AI199" s="72" t="b">
        <v>1</v>
      </c>
      <c r="AJ199" s="72" t="b">
        <v>1</v>
      </c>
      <c r="AK199" s="72" t="b">
        <v>1</v>
      </c>
      <c r="AL199" s="72" t="b">
        <v>1</v>
      </c>
      <c r="AM199" s="72" t="b">
        <v>1</v>
      </c>
      <c r="AN199" s="72" t="b">
        <v>1</v>
      </c>
      <c r="AO199" s="72" t="b">
        <v>1</v>
      </c>
      <c r="AP199" s="70"/>
      <c r="AQ199" s="54">
        <f t="shared" si="8"/>
        <v>8</v>
      </c>
    </row>
    <row r="200">
      <c r="A200" s="70" t="s">
        <v>712</v>
      </c>
      <c r="B200" s="70" t="s">
        <v>713</v>
      </c>
      <c r="C200" s="71" t="s">
        <v>714</v>
      </c>
      <c r="D200" s="70" t="s">
        <v>571</v>
      </c>
      <c r="E200" s="71">
        <f t="shared" si="1"/>
        <v>33</v>
      </c>
      <c r="F200" s="71">
        <f t="shared" si="2"/>
        <v>31</v>
      </c>
      <c r="G200" s="52">
        <f t="shared" si="3"/>
        <v>93.93939394</v>
      </c>
      <c r="H200" s="70"/>
      <c r="I200" s="72" t="b">
        <v>1</v>
      </c>
      <c r="J200" s="72" t="b">
        <v>1</v>
      </c>
      <c r="K200" s="72" t="b">
        <v>1</v>
      </c>
      <c r="L200" s="72" t="b">
        <v>1</v>
      </c>
      <c r="M200" s="72" t="b">
        <v>1</v>
      </c>
      <c r="N200" s="72" t="b">
        <v>1</v>
      </c>
      <c r="O200" s="72" t="b">
        <v>0</v>
      </c>
      <c r="P200" s="72" t="b">
        <v>1</v>
      </c>
      <c r="Q200" s="72" t="b">
        <v>1</v>
      </c>
      <c r="R200" s="72" t="b">
        <v>1</v>
      </c>
      <c r="S200" s="72" t="b">
        <v>1</v>
      </c>
      <c r="T200" s="72" t="b">
        <v>1</v>
      </c>
      <c r="U200" s="72" t="b">
        <v>1</v>
      </c>
      <c r="V200" s="72" t="b">
        <v>1</v>
      </c>
      <c r="W200" s="72" t="b">
        <v>1</v>
      </c>
      <c r="X200" s="72" t="b">
        <v>1</v>
      </c>
      <c r="Y200" s="72" t="b">
        <v>1</v>
      </c>
      <c r="Z200" s="72" t="b">
        <v>1</v>
      </c>
      <c r="AA200" s="72" t="b">
        <v>1</v>
      </c>
      <c r="AB200" s="72" t="b">
        <v>1</v>
      </c>
      <c r="AC200" s="72" t="b">
        <v>0</v>
      </c>
      <c r="AD200" s="72" t="b">
        <v>1</v>
      </c>
      <c r="AE200" s="72" t="b">
        <v>1</v>
      </c>
      <c r="AF200" s="72" t="b">
        <v>1</v>
      </c>
      <c r="AG200" s="72" t="b">
        <v>1</v>
      </c>
      <c r="AH200" s="72" t="b">
        <v>1</v>
      </c>
      <c r="AI200" s="72" t="b">
        <v>1</v>
      </c>
      <c r="AJ200" s="72" t="b">
        <v>1</v>
      </c>
      <c r="AK200" s="72" t="b">
        <v>1</v>
      </c>
      <c r="AL200" s="72" t="b">
        <v>1</v>
      </c>
      <c r="AM200" s="72" t="b">
        <v>1</v>
      </c>
      <c r="AN200" s="72" t="b">
        <v>1</v>
      </c>
      <c r="AO200" s="72" t="b">
        <v>1</v>
      </c>
      <c r="AP200" s="70"/>
      <c r="AQ200" s="54">
        <f t="shared" si="8"/>
        <v>9</v>
      </c>
    </row>
    <row r="201">
      <c r="A201" s="70" t="s">
        <v>715</v>
      </c>
      <c r="B201" s="70"/>
      <c r="C201" s="71">
        <v>8.979225154E9</v>
      </c>
      <c r="D201" s="70" t="s">
        <v>571</v>
      </c>
      <c r="E201" s="71">
        <f t="shared" si="1"/>
        <v>33</v>
      </c>
      <c r="F201" s="71">
        <f t="shared" si="2"/>
        <v>20</v>
      </c>
      <c r="G201" s="55">
        <f t="shared" si="3"/>
        <v>60.60606061</v>
      </c>
      <c r="H201" s="70"/>
      <c r="I201" s="72" t="b">
        <v>1</v>
      </c>
      <c r="J201" s="72" t="b">
        <v>1</v>
      </c>
      <c r="K201" s="72" t="b">
        <v>0</v>
      </c>
      <c r="L201" s="72" t="b">
        <v>1</v>
      </c>
      <c r="M201" s="72" t="b">
        <v>0</v>
      </c>
      <c r="N201" s="72" t="b">
        <v>0</v>
      </c>
      <c r="O201" s="72" t="b">
        <v>0</v>
      </c>
      <c r="P201" s="72" t="b">
        <v>0</v>
      </c>
      <c r="Q201" s="72" t="b">
        <v>0</v>
      </c>
      <c r="R201" s="72" t="b">
        <v>0</v>
      </c>
      <c r="S201" s="72" t="b">
        <v>1</v>
      </c>
      <c r="T201" s="72" t="b">
        <v>1</v>
      </c>
      <c r="U201" s="72" t="b">
        <v>1</v>
      </c>
      <c r="V201" s="72" t="b">
        <v>1</v>
      </c>
      <c r="W201" s="72" t="b">
        <v>0</v>
      </c>
      <c r="X201" s="72" t="b">
        <v>1</v>
      </c>
      <c r="Y201" s="72" t="b">
        <v>1</v>
      </c>
      <c r="Z201" s="72" t="b">
        <v>1</v>
      </c>
      <c r="AA201" s="72" t="b">
        <v>1</v>
      </c>
      <c r="AB201" s="72" t="b">
        <v>0</v>
      </c>
      <c r="AC201" s="72" t="b">
        <v>0</v>
      </c>
      <c r="AD201" s="72" t="b">
        <v>0</v>
      </c>
      <c r="AE201" s="72" t="b">
        <v>1</v>
      </c>
      <c r="AF201" s="72" t="b">
        <v>1</v>
      </c>
      <c r="AG201" s="72" t="b">
        <v>1</v>
      </c>
      <c r="AH201" s="72" t="b">
        <v>1</v>
      </c>
      <c r="AI201" s="72" t="b">
        <v>1</v>
      </c>
      <c r="AJ201" s="72" t="b">
        <v>1</v>
      </c>
      <c r="AK201" s="72" t="b">
        <v>1</v>
      </c>
      <c r="AL201" s="72" t="b">
        <v>1</v>
      </c>
      <c r="AM201" s="72" t="b">
        <v>1</v>
      </c>
      <c r="AN201" s="72" t="b">
        <v>0</v>
      </c>
      <c r="AO201" s="72" t="b">
        <v>0</v>
      </c>
      <c r="AP201" s="70"/>
      <c r="AQ201" s="54">
        <f t="shared" si="8"/>
        <v>7</v>
      </c>
    </row>
    <row r="202">
      <c r="A202" s="70" t="s">
        <v>716</v>
      </c>
      <c r="B202" s="70"/>
      <c r="C202" s="71">
        <v>8.447753619E9</v>
      </c>
      <c r="D202" s="70" t="s">
        <v>571</v>
      </c>
      <c r="E202" s="71">
        <f t="shared" si="1"/>
        <v>33</v>
      </c>
      <c r="F202" s="71">
        <f t="shared" si="2"/>
        <v>23</v>
      </c>
      <c r="G202" s="55">
        <f t="shared" si="3"/>
        <v>69.6969697</v>
      </c>
      <c r="H202" s="70"/>
      <c r="I202" s="72" t="b">
        <v>1</v>
      </c>
      <c r="J202" s="72" t="b">
        <v>1</v>
      </c>
      <c r="K202" s="72" t="b">
        <v>1</v>
      </c>
      <c r="L202" s="72" t="b">
        <v>1</v>
      </c>
      <c r="M202" s="72" t="b">
        <v>1</v>
      </c>
      <c r="N202" s="72" t="b">
        <v>1</v>
      </c>
      <c r="O202" s="72" t="b">
        <v>1</v>
      </c>
      <c r="P202" s="72" t="b">
        <v>1</v>
      </c>
      <c r="Q202" s="72" t="b">
        <v>1</v>
      </c>
      <c r="R202" s="72" t="b">
        <v>1</v>
      </c>
      <c r="S202" s="72" t="b">
        <v>1</v>
      </c>
      <c r="T202" s="72" t="b">
        <v>1</v>
      </c>
      <c r="U202" s="72" t="b">
        <v>1</v>
      </c>
      <c r="V202" s="72" t="b">
        <v>0</v>
      </c>
      <c r="W202" s="72" t="b">
        <v>0</v>
      </c>
      <c r="X202" s="72" t="b">
        <v>1</v>
      </c>
      <c r="Y202" s="72" t="b">
        <v>1</v>
      </c>
      <c r="Z202" s="72" t="b">
        <v>1</v>
      </c>
      <c r="AA202" s="72" t="b">
        <v>1</v>
      </c>
      <c r="AB202" s="72" t="b">
        <v>0</v>
      </c>
      <c r="AC202" s="72" t="b">
        <v>0</v>
      </c>
      <c r="AD202" s="72" t="b">
        <v>0</v>
      </c>
      <c r="AE202" s="72" t="b">
        <v>1</v>
      </c>
      <c r="AF202" s="72" t="b">
        <v>1</v>
      </c>
      <c r="AG202" s="72" t="b">
        <v>0</v>
      </c>
      <c r="AH202" s="72" t="b">
        <v>1</v>
      </c>
      <c r="AI202" s="72" t="b">
        <v>1</v>
      </c>
      <c r="AJ202" s="72" t="b">
        <v>1</v>
      </c>
      <c r="AK202" s="72" t="b">
        <v>1</v>
      </c>
      <c r="AL202" s="72" t="b">
        <v>0</v>
      </c>
      <c r="AM202" s="72" t="b">
        <v>0</v>
      </c>
      <c r="AN202" s="72" t="b">
        <v>0</v>
      </c>
      <c r="AO202" s="72" t="b">
        <v>0</v>
      </c>
      <c r="AP202" s="70"/>
      <c r="AQ202" s="54">
        <f t="shared" si="8"/>
        <v>4</v>
      </c>
    </row>
    <row r="203">
      <c r="A203" s="70" t="s">
        <v>717</v>
      </c>
      <c r="B203" s="70"/>
      <c r="C203" s="71">
        <v>7.050262222E9</v>
      </c>
      <c r="D203" s="70" t="s">
        <v>571</v>
      </c>
      <c r="E203" s="71">
        <f t="shared" si="1"/>
        <v>33</v>
      </c>
      <c r="F203" s="71">
        <f t="shared" si="2"/>
        <v>19</v>
      </c>
      <c r="G203" s="55">
        <f t="shared" si="3"/>
        <v>57.57575758</v>
      </c>
      <c r="H203" s="70"/>
      <c r="I203" s="72" t="b">
        <v>1</v>
      </c>
      <c r="J203" s="72" t="b">
        <v>1</v>
      </c>
      <c r="K203" s="72" t="b">
        <v>1</v>
      </c>
      <c r="L203" s="72" t="b">
        <v>1</v>
      </c>
      <c r="M203" s="72" t="b">
        <v>1</v>
      </c>
      <c r="N203" s="72" t="b">
        <v>1</v>
      </c>
      <c r="O203" s="72" t="b">
        <v>1</v>
      </c>
      <c r="P203" s="72" t="b">
        <v>1</v>
      </c>
      <c r="Q203" s="72" t="b">
        <v>1</v>
      </c>
      <c r="R203" s="72" t="b">
        <v>1</v>
      </c>
      <c r="S203" s="72" t="b">
        <v>1</v>
      </c>
      <c r="T203" s="72" t="b">
        <v>1</v>
      </c>
      <c r="U203" s="72" t="b">
        <v>0</v>
      </c>
      <c r="V203" s="72" t="b">
        <v>0</v>
      </c>
      <c r="W203" s="72" t="b">
        <v>0</v>
      </c>
      <c r="X203" s="72" t="b">
        <v>1</v>
      </c>
      <c r="Y203" s="72" t="b">
        <v>0</v>
      </c>
      <c r="Z203" s="72" t="b">
        <v>1</v>
      </c>
      <c r="AA203" s="72" t="b">
        <v>0</v>
      </c>
      <c r="AB203" s="72" t="b">
        <v>0</v>
      </c>
      <c r="AC203" s="72" t="b">
        <v>0</v>
      </c>
      <c r="AD203" s="72" t="b">
        <v>0</v>
      </c>
      <c r="AE203" s="72" t="b">
        <v>1</v>
      </c>
      <c r="AF203" s="72" t="b">
        <v>1</v>
      </c>
      <c r="AG203" s="72" t="b">
        <v>1</v>
      </c>
      <c r="AH203" s="72" t="b">
        <v>1</v>
      </c>
      <c r="AI203" s="72" t="b">
        <v>0</v>
      </c>
      <c r="AJ203" s="72" t="b">
        <v>1</v>
      </c>
      <c r="AK203" s="72" t="b">
        <v>0</v>
      </c>
      <c r="AL203" s="72" t="b">
        <v>0</v>
      </c>
      <c r="AM203" s="72" t="b">
        <v>0</v>
      </c>
      <c r="AN203" s="72" t="b">
        <v>0</v>
      </c>
      <c r="AO203" s="72" t="b">
        <v>0</v>
      </c>
      <c r="AP203" s="70"/>
      <c r="AQ203" s="54">
        <f t="shared" si="8"/>
        <v>3</v>
      </c>
    </row>
    <row r="204">
      <c r="A204" s="70" t="s">
        <v>718</v>
      </c>
      <c r="B204" s="70"/>
      <c r="C204" s="71">
        <v>8.287533109E9</v>
      </c>
      <c r="D204" s="70" t="s">
        <v>571</v>
      </c>
      <c r="E204" s="71">
        <f t="shared" si="1"/>
        <v>33</v>
      </c>
      <c r="F204" s="71">
        <f t="shared" si="2"/>
        <v>5</v>
      </c>
      <c r="G204" s="55">
        <f t="shared" si="3"/>
        <v>15.15151515</v>
      </c>
      <c r="H204" s="70"/>
      <c r="I204" s="72" t="b">
        <v>1</v>
      </c>
      <c r="J204" s="72" t="b">
        <v>1</v>
      </c>
      <c r="K204" s="72" t="b">
        <v>1</v>
      </c>
      <c r="L204" s="72" t="b">
        <v>1</v>
      </c>
      <c r="M204" s="72" t="b">
        <v>0</v>
      </c>
      <c r="N204" s="72" t="b">
        <v>0</v>
      </c>
      <c r="O204" s="72" t="b">
        <v>0</v>
      </c>
      <c r="P204" s="72" t="b">
        <v>0</v>
      </c>
      <c r="Q204" s="72" t="b">
        <v>0</v>
      </c>
      <c r="R204" s="72" t="b">
        <v>0</v>
      </c>
      <c r="S204" s="72" t="b">
        <v>0</v>
      </c>
      <c r="T204" s="72" t="b">
        <v>0</v>
      </c>
      <c r="U204" s="72" t="b">
        <v>0</v>
      </c>
      <c r="V204" s="72" t="b">
        <v>0</v>
      </c>
      <c r="W204" s="72" t="b">
        <v>0</v>
      </c>
      <c r="X204" s="72" t="b">
        <v>0</v>
      </c>
      <c r="Y204" s="72" t="b">
        <v>0</v>
      </c>
      <c r="Z204" s="72" t="b">
        <v>0</v>
      </c>
      <c r="AA204" s="72" t="b">
        <v>0</v>
      </c>
      <c r="AB204" s="72" t="b">
        <v>0</v>
      </c>
      <c r="AC204" s="72" t="b">
        <v>0</v>
      </c>
      <c r="AD204" s="72" t="b">
        <v>0</v>
      </c>
      <c r="AE204" s="72" t="b">
        <v>0</v>
      </c>
      <c r="AF204" s="72" t="b">
        <v>0</v>
      </c>
      <c r="AG204" s="72" t="b">
        <v>0</v>
      </c>
      <c r="AH204" s="72" t="b">
        <v>0</v>
      </c>
      <c r="AI204" s="72" t="b">
        <v>1</v>
      </c>
      <c r="AJ204" s="72" t="b">
        <v>0</v>
      </c>
      <c r="AK204" s="72" t="b">
        <v>0</v>
      </c>
      <c r="AL204" s="72" t="b">
        <v>0</v>
      </c>
      <c r="AM204" s="72" t="b">
        <v>0</v>
      </c>
      <c r="AN204" s="72" t="b">
        <v>0</v>
      </c>
      <c r="AO204" s="72" t="b">
        <v>0</v>
      </c>
      <c r="AP204" s="70"/>
      <c r="AQ204" s="54">
        <f t="shared" si="8"/>
        <v>1</v>
      </c>
    </row>
    <row r="205">
      <c r="A205" s="70" t="s">
        <v>719</v>
      </c>
      <c r="B205" s="70" t="s">
        <v>720</v>
      </c>
      <c r="C205" s="71" t="s">
        <v>721</v>
      </c>
      <c r="D205" s="70" t="s">
        <v>571</v>
      </c>
      <c r="E205" s="71">
        <f t="shared" si="1"/>
        <v>33</v>
      </c>
      <c r="F205" s="71">
        <f t="shared" si="2"/>
        <v>5</v>
      </c>
      <c r="G205" s="55">
        <f t="shared" si="3"/>
        <v>15.15151515</v>
      </c>
      <c r="H205" s="70"/>
      <c r="I205" s="72" t="b">
        <v>0</v>
      </c>
      <c r="J205" s="72" t="b">
        <v>0</v>
      </c>
      <c r="K205" s="72" t="b">
        <v>0</v>
      </c>
      <c r="L205" s="72" t="b">
        <v>0</v>
      </c>
      <c r="M205" s="72" t="b">
        <v>0</v>
      </c>
      <c r="N205" s="72" t="b">
        <v>0</v>
      </c>
      <c r="O205" s="72" t="b">
        <v>1</v>
      </c>
      <c r="P205" s="72" t="b">
        <v>0</v>
      </c>
      <c r="Q205" s="72" t="b">
        <v>0</v>
      </c>
      <c r="R205" s="72" t="b">
        <v>0</v>
      </c>
      <c r="S205" s="72" t="b">
        <v>0</v>
      </c>
      <c r="T205" s="72" t="b">
        <v>0</v>
      </c>
      <c r="U205" s="72" t="b">
        <v>0</v>
      </c>
      <c r="V205" s="72" t="b">
        <v>0</v>
      </c>
      <c r="W205" s="72" t="b">
        <v>0</v>
      </c>
      <c r="X205" s="72" t="b">
        <v>0</v>
      </c>
      <c r="Y205" s="72" t="b">
        <v>0</v>
      </c>
      <c r="Z205" s="72" t="b">
        <v>0</v>
      </c>
      <c r="AA205" s="72" t="b">
        <v>0</v>
      </c>
      <c r="AB205" s="72" t="b">
        <v>0</v>
      </c>
      <c r="AC205" s="72" t="b">
        <v>0</v>
      </c>
      <c r="AD205" s="72" t="b">
        <v>0</v>
      </c>
      <c r="AE205" s="72" t="b">
        <v>0</v>
      </c>
      <c r="AF205" s="72" t="b">
        <v>1</v>
      </c>
      <c r="AG205" s="72" t="b">
        <v>0</v>
      </c>
      <c r="AH205" s="72" t="b">
        <v>0</v>
      </c>
      <c r="AI205" s="72" t="b">
        <v>0</v>
      </c>
      <c r="AJ205" s="72" t="b">
        <v>0</v>
      </c>
      <c r="AK205" s="72" t="b">
        <v>1</v>
      </c>
      <c r="AL205" s="72" t="b">
        <v>0</v>
      </c>
      <c r="AM205" s="72" t="b">
        <v>0</v>
      </c>
      <c r="AN205" s="72" t="b">
        <v>1</v>
      </c>
      <c r="AO205" s="72" t="b">
        <v>1</v>
      </c>
      <c r="AP205" s="70"/>
      <c r="AQ205" s="54">
        <f t="shared" si="8"/>
        <v>3</v>
      </c>
    </row>
    <row r="206">
      <c r="A206" s="77" t="s">
        <v>722</v>
      </c>
      <c r="B206" s="77" t="s">
        <v>723</v>
      </c>
      <c r="C206" s="78" t="s">
        <v>724</v>
      </c>
      <c r="D206" s="77" t="s">
        <v>725</v>
      </c>
      <c r="E206" s="79">
        <f t="shared" si="1"/>
        <v>33</v>
      </c>
      <c r="F206" s="79">
        <f t="shared" si="2"/>
        <v>30</v>
      </c>
      <c r="G206" s="52">
        <f t="shared" si="3"/>
        <v>90.90909091</v>
      </c>
      <c r="H206" s="77"/>
      <c r="I206" s="80" t="b">
        <v>1</v>
      </c>
      <c r="J206" s="80" t="b">
        <v>1</v>
      </c>
      <c r="K206" s="80" t="b">
        <v>1</v>
      </c>
      <c r="L206" s="80" t="b">
        <v>1</v>
      </c>
      <c r="M206" s="80" t="b">
        <v>1</v>
      </c>
      <c r="N206" s="80" t="b">
        <v>1</v>
      </c>
      <c r="O206" s="80" t="b">
        <v>1</v>
      </c>
      <c r="P206" s="80" t="b">
        <v>1</v>
      </c>
      <c r="Q206" s="80" t="b">
        <v>1</v>
      </c>
      <c r="R206" s="80" t="b">
        <v>1</v>
      </c>
      <c r="S206" s="80" t="b">
        <v>1</v>
      </c>
      <c r="T206" s="80" t="b">
        <v>1</v>
      </c>
      <c r="U206" s="80" t="b">
        <v>1</v>
      </c>
      <c r="V206" s="80" t="b">
        <v>1</v>
      </c>
      <c r="W206" s="80" t="b">
        <v>1</v>
      </c>
      <c r="X206" s="80" t="b">
        <v>1</v>
      </c>
      <c r="Y206" s="80" t="b">
        <v>1</v>
      </c>
      <c r="Z206" s="80" t="b">
        <v>1</v>
      </c>
      <c r="AA206" s="80" t="b">
        <v>1</v>
      </c>
      <c r="AB206" s="80" t="b">
        <v>1</v>
      </c>
      <c r="AC206" s="80" t="b">
        <v>1</v>
      </c>
      <c r="AD206" s="80" t="b">
        <v>1</v>
      </c>
      <c r="AE206" s="80" t="b">
        <v>0</v>
      </c>
      <c r="AF206" s="80" t="b">
        <v>1</v>
      </c>
      <c r="AG206" s="80" t="b">
        <v>1</v>
      </c>
      <c r="AH206" s="80" t="b">
        <v>1</v>
      </c>
      <c r="AI206" s="80" t="b">
        <v>0</v>
      </c>
      <c r="AJ206" s="80" t="b">
        <v>0</v>
      </c>
      <c r="AK206" s="80" t="b">
        <v>1</v>
      </c>
      <c r="AL206" s="80" t="b">
        <v>1</v>
      </c>
      <c r="AM206" s="80" t="b">
        <v>1</v>
      </c>
      <c r="AN206" s="80" t="b">
        <v>1</v>
      </c>
      <c r="AO206" s="80" t="b">
        <v>1</v>
      </c>
      <c r="AP206" s="77" t="str">
        <f t="shared" ref="AP206:AP212" si="9">IF(ISNUMBER(MATCH(C206,#REF!,0)),"filled","not filled")</f>
        <v>not filled</v>
      </c>
      <c r="AQ206" s="54">
        <f t="shared" si="8"/>
        <v>7</v>
      </c>
    </row>
    <row r="207">
      <c r="A207" s="77" t="s">
        <v>726</v>
      </c>
      <c r="B207" s="77" t="s">
        <v>727</v>
      </c>
      <c r="C207" s="78" t="s">
        <v>728</v>
      </c>
      <c r="D207" s="77" t="s">
        <v>725</v>
      </c>
      <c r="E207" s="79">
        <f t="shared" si="1"/>
        <v>33</v>
      </c>
      <c r="F207" s="79">
        <f t="shared" si="2"/>
        <v>23</v>
      </c>
      <c r="G207" s="55">
        <f t="shared" si="3"/>
        <v>69.6969697</v>
      </c>
      <c r="H207" s="77"/>
      <c r="I207" s="80" t="b">
        <v>1</v>
      </c>
      <c r="J207" s="80" t="b">
        <v>0</v>
      </c>
      <c r="K207" s="80" t="b">
        <v>1</v>
      </c>
      <c r="L207" s="80" t="b">
        <v>0</v>
      </c>
      <c r="M207" s="80" t="b">
        <v>0</v>
      </c>
      <c r="N207" s="80" t="b">
        <v>0</v>
      </c>
      <c r="O207" s="80" t="b">
        <v>1</v>
      </c>
      <c r="P207" s="80" t="b">
        <v>1</v>
      </c>
      <c r="Q207" s="80" t="b">
        <v>1</v>
      </c>
      <c r="R207" s="80" t="b">
        <v>1</v>
      </c>
      <c r="S207" s="80" t="b">
        <v>1</v>
      </c>
      <c r="T207" s="80" t="b">
        <v>1</v>
      </c>
      <c r="U207" s="80" t="b">
        <v>0</v>
      </c>
      <c r="V207" s="80" t="b">
        <v>0</v>
      </c>
      <c r="W207" s="80" t="b">
        <v>0</v>
      </c>
      <c r="X207" s="80" t="b">
        <v>1</v>
      </c>
      <c r="Y207" s="80" t="b">
        <v>1</v>
      </c>
      <c r="Z207" s="80" t="b">
        <v>1</v>
      </c>
      <c r="AA207" s="80" t="b">
        <v>1</v>
      </c>
      <c r="AB207" s="80" t="b">
        <v>1</v>
      </c>
      <c r="AC207" s="80" t="b">
        <v>1</v>
      </c>
      <c r="AD207" s="80" t="b">
        <v>1</v>
      </c>
      <c r="AE207" s="80" t="b">
        <v>0</v>
      </c>
      <c r="AF207" s="80" t="b">
        <v>1</v>
      </c>
      <c r="AG207" s="80" t="b">
        <v>1</v>
      </c>
      <c r="AH207" s="80" t="b">
        <v>0</v>
      </c>
      <c r="AI207" s="80" t="b">
        <v>1</v>
      </c>
      <c r="AJ207" s="80" t="b">
        <v>1</v>
      </c>
      <c r="AK207" s="80" t="b">
        <v>1</v>
      </c>
      <c r="AL207" s="80" t="b">
        <v>1</v>
      </c>
      <c r="AM207" s="80" t="b">
        <v>0</v>
      </c>
      <c r="AN207" s="80" t="b">
        <v>1</v>
      </c>
      <c r="AO207" s="80" t="b">
        <v>1</v>
      </c>
      <c r="AP207" s="77" t="str">
        <f t="shared" si="9"/>
        <v>not filled</v>
      </c>
      <c r="AQ207" s="54">
        <f t="shared" si="8"/>
        <v>7</v>
      </c>
    </row>
    <row r="208">
      <c r="A208" s="77" t="s">
        <v>729</v>
      </c>
      <c r="B208" s="77" t="s">
        <v>730</v>
      </c>
      <c r="C208" s="78" t="s">
        <v>731</v>
      </c>
      <c r="D208" s="77" t="s">
        <v>725</v>
      </c>
      <c r="E208" s="79">
        <f t="shared" si="1"/>
        <v>33</v>
      </c>
      <c r="F208" s="79">
        <f t="shared" si="2"/>
        <v>10</v>
      </c>
      <c r="G208" s="55">
        <f t="shared" si="3"/>
        <v>30.3030303</v>
      </c>
      <c r="H208" s="77"/>
      <c r="I208" s="80" t="b">
        <v>0</v>
      </c>
      <c r="J208" s="80" t="b">
        <v>0</v>
      </c>
      <c r="K208" s="80" t="b">
        <v>0</v>
      </c>
      <c r="L208" s="80" t="b">
        <v>0</v>
      </c>
      <c r="M208" s="80" t="b">
        <v>1</v>
      </c>
      <c r="N208" s="80" t="b">
        <v>0</v>
      </c>
      <c r="O208" s="80" t="b">
        <v>0</v>
      </c>
      <c r="P208" s="80" t="b">
        <v>0</v>
      </c>
      <c r="Q208" s="80" t="b">
        <v>1</v>
      </c>
      <c r="R208" s="80" t="b">
        <v>0</v>
      </c>
      <c r="S208" s="80" t="b">
        <v>1</v>
      </c>
      <c r="T208" s="80" t="b">
        <v>0</v>
      </c>
      <c r="U208" s="80" t="b">
        <v>1</v>
      </c>
      <c r="V208" s="80" t="b">
        <v>0</v>
      </c>
      <c r="W208" s="80" t="b">
        <v>0</v>
      </c>
      <c r="X208" s="80" t="b">
        <v>0</v>
      </c>
      <c r="Y208" s="80" t="b">
        <v>1</v>
      </c>
      <c r="Z208" s="80" t="b">
        <v>0</v>
      </c>
      <c r="AA208" s="80" t="b">
        <v>1</v>
      </c>
      <c r="AB208" s="80" t="b">
        <v>0</v>
      </c>
      <c r="AC208" s="80" t="b">
        <v>0</v>
      </c>
      <c r="AD208" s="80" t="b">
        <v>0</v>
      </c>
      <c r="AE208" s="80" t="b">
        <v>1</v>
      </c>
      <c r="AF208" s="80" t="b">
        <v>0</v>
      </c>
      <c r="AG208" s="80" t="b">
        <v>1</v>
      </c>
      <c r="AH208" s="80" t="b">
        <v>0</v>
      </c>
      <c r="AI208" s="80" t="b">
        <v>0</v>
      </c>
      <c r="AJ208" s="80" t="b">
        <v>0</v>
      </c>
      <c r="AK208" s="80" t="b">
        <v>1</v>
      </c>
      <c r="AL208" s="80" t="b">
        <v>0</v>
      </c>
      <c r="AM208" s="80" t="b">
        <v>0</v>
      </c>
      <c r="AN208" s="80" t="b">
        <v>0</v>
      </c>
      <c r="AO208" s="80" t="b">
        <v>1</v>
      </c>
      <c r="AP208" s="77" t="str">
        <f t="shared" si="9"/>
        <v>not filled</v>
      </c>
      <c r="AQ208" s="54">
        <f t="shared" si="8"/>
        <v>3</v>
      </c>
    </row>
    <row r="209">
      <c r="A209" s="77" t="s">
        <v>732</v>
      </c>
      <c r="B209" s="77" t="s">
        <v>733</v>
      </c>
      <c r="C209" s="78" t="s">
        <v>734</v>
      </c>
      <c r="D209" s="77" t="s">
        <v>725</v>
      </c>
      <c r="E209" s="79">
        <f t="shared" si="1"/>
        <v>33</v>
      </c>
      <c r="F209" s="79">
        <f t="shared" si="2"/>
        <v>20</v>
      </c>
      <c r="G209" s="55">
        <f t="shared" si="3"/>
        <v>60.60606061</v>
      </c>
      <c r="H209" s="77"/>
      <c r="I209" s="80" t="b">
        <v>0</v>
      </c>
      <c r="J209" s="80" t="b">
        <v>0</v>
      </c>
      <c r="K209" s="80" t="b">
        <v>0</v>
      </c>
      <c r="L209" s="80" t="b">
        <v>0</v>
      </c>
      <c r="M209" s="80" t="b">
        <v>0</v>
      </c>
      <c r="N209" s="80" t="b">
        <v>0</v>
      </c>
      <c r="O209" s="80" t="b">
        <v>0</v>
      </c>
      <c r="P209" s="80" t="b">
        <v>0</v>
      </c>
      <c r="Q209" s="80" t="b">
        <v>1</v>
      </c>
      <c r="R209" s="80" t="b">
        <v>0</v>
      </c>
      <c r="S209" s="80" t="b">
        <v>1</v>
      </c>
      <c r="T209" s="80" t="b">
        <v>1</v>
      </c>
      <c r="U209" s="80" t="b">
        <v>1</v>
      </c>
      <c r="V209" s="80" t="b">
        <v>1</v>
      </c>
      <c r="W209" s="80" t="b">
        <v>1</v>
      </c>
      <c r="X209" s="80" t="b">
        <v>1</v>
      </c>
      <c r="Y209" s="80" t="b">
        <v>1</v>
      </c>
      <c r="Z209" s="80" t="b">
        <v>1</v>
      </c>
      <c r="AA209" s="80" t="b">
        <v>0</v>
      </c>
      <c r="AB209" s="80" t="b">
        <v>1</v>
      </c>
      <c r="AC209" s="80" t="b">
        <v>0</v>
      </c>
      <c r="AD209" s="80" t="b">
        <v>1</v>
      </c>
      <c r="AE209" s="80" t="b">
        <v>0</v>
      </c>
      <c r="AF209" s="80" t="b">
        <v>1</v>
      </c>
      <c r="AG209" s="80" t="b">
        <v>1</v>
      </c>
      <c r="AH209" s="80" t="b">
        <v>1</v>
      </c>
      <c r="AI209" s="80" t="b">
        <v>1</v>
      </c>
      <c r="AJ209" s="80" t="b">
        <v>1</v>
      </c>
      <c r="AK209" s="80" t="b">
        <v>0</v>
      </c>
      <c r="AL209" s="80" t="b">
        <v>1</v>
      </c>
      <c r="AM209" s="80" t="b">
        <v>1</v>
      </c>
      <c r="AN209" s="80" t="b">
        <v>1</v>
      </c>
      <c r="AO209" s="80" t="b">
        <v>1</v>
      </c>
      <c r="AP209" s="77" t="str">
        <f t="shared" si="9"/>
        <v>not filled</v>
      </c>
      <c r="AQ209" s="54">
        <f t="shared" si="8"/>
        <v>8</v>
      </c>
    </row>
    <row r="210">
      <c r="A210" s="77" t="s">
        <v>735</v>
      </c>
      <c r="B210" s="77" t="s">
        <v>736</v>
      </c>
      <c r="C210" s="78" t="s">
        <v>737</v>
      </c>
      <c r="D210" s="77" t="s">
        <v>725</v>
      </c>
      <c r="E210" s="79">
        <f t="shared" si="1"/>
        <v>33</v>
      </c>
      <c r="F210" s="79">
        <f t="shared" si="2"/>
        <v>30</v>
      </c>
      <c r="G210" s="52">
        <f t="shared" si="3"/>
        <v>90.90909091</v>
      </c>
      <c r="H210" s="77"/>
      <c r="I210" s="80" t="b">
        <v>1</v>
      </c>
      <c r="J210" s="80" t="b">
        <v>1</v>
      </c>
      <c r="K210" s="80" t="b">
        <v>1</v>
      </c>
      <c r="L210" s="80" t="b">
        <v>1</v>
      </c>
      <c r="M210" s="80" t="b">
        <v>1</v>
      </c>
      <c r="N210" s="80" t="b">
        <v>1</v>
      </c>
      <c r="O210" s="80" t="b">
        <v>1</v>
      </c>
      <c r="P210" s="80" t="b">
        <v>1</v>
      </c>
      <c r="Q210" s="80" t="b">
        <v>1</v>
      </c>
      <c r="R210" s="80" t="b">
        <v>1</v>
      </c>
      <c r="S210" s="80" t="b">
        <v>0</v>
      </c>
      <c r="T210" s="80" t="b">
        <v>1</v>
      </c>
      <c r="U210" s="80" t="b">
        <v>1</v>
      </c>
      <c r="V210" s="80" t="b">
        <v>1</v>
      </c>
      <c r="W210" s="80" t="b">
        <v>1</v>
      </c>
      <c r="X210" s="80" t="b">
        <v>1</v>
      </c>
      <c r="Y210" s="80" t="b">
        <v>1</v>
      </c>
      <c r="Z210" s="80" t="b">
        <v>1</v>
      </c>
      <c r="AA210" s="80" t="b">
        <v>1</v>
      </c>
      <c r="AB210" s="80" t="b">
        <v>1</v>
      </c>
      <c r="AC210" s="80" t="b">
        <v>1</v>
      </c>
      <c r="AD210" s="80" t="b">
        <v>1</v>
      </c>
      <c r="AE210" s="80" t="b">
        <v>0</v>
      </c>
      <c r="AF210" s="80" t="b">
        <v>1</v>
      </c>
      <c r="AG210" s="80" t="b">
        <v>1</v>
      </c>
      <c r="AH210" s="80" t="b">
        <v>1</v>
      </c>
      <c r="AI210" s="80" t="b">
        <v>0</v>
      </c>
      <c r="AJ210" s="80" t="b">
        <v>1</v>
      </c>
      <c r="AK210" s="80" t="b">
        <v>1</v>
      </c>
      <c r="AL210" s="80" t="b">
        <v>1</v>
      </c>
      <c r="AM210" s="80" t="b">
        <v>1</v>
      </c>
      <c r="AN210" s="80" t="b">
        <v>1</v>
      </c>
      <c r="AO210" s="80" t="b">
        <v>1</v>
      </c>
      <c r="AP210" s="77" t="str">
        <f t="shared" si="9"/>
        <v>not filled</v>
      </c>
      <c r="AQ210" s="54">
        <f t="shared" si="8"/>
        <v>8</v>
      </c>
    </row>
    <row r="211">
      <c r="A211" s="77" t="s">
        <v>735</v>
      </c>
      <c r="B211" s="77"/>
      <c r="C211" s="78" t="s">
        <v>738</v>
      </c>
      <c r="D211" s="77" t="s">
        <v>725</v>
      </c>
      <c r="E211" s="79">
        <f t="shared" si="1"/>
        <v>33</v>
      </c>
      <c r="F211" s="79">
        <f t="shared" si="2"/>
        <v>18</v>
      </c>
      <c r="G211" s="55">
        <f t="shared" si="3"/>
        <v>54.54545455</v>
      </c>
      <c r="H211" s="77"/>
      <c r="I211" s="80" t="b">
        <v>1</v>
      </c>
      <c r="J211" s="80" t="b">
        <v>1</v>
      </c>
      <c r="K211" s="80" t="b">
        <v>0</v>
      </c>
      <c r="L211" s="80" t="b">
        <v>0</v>
      </c>
      <c r="M211" s="80" t="b">
        <v>0</v>
      </c>
      <c r="N211" s="80" t="b">
        <v>1</v>
      </c>
      <c r="O211" s="80" t="b">
        <v>1</v>
      </c>
      <c r="P211" s="80" t="b">
        <v>1</v>
      </c>
      <c r="Q211" s="80" t="b">
        <v>0</v>
      </c>
      <c r="R211" s="80" t="b">
        <v>0</v>
      </c>
      <c r="S211" s="80" t="b">
        <v>0</v>
      </c>
      <c r="T211" s="80" t="b">
        <v>0</v>
      </c>
      <c r="U211" s="80" t="b">
        <v>0</v>
      </c>
      <c r="V211" s="80" t="b">
        <v>0</v>
      </c>
      <c r="W211" s="80" t="b">
        <v>1</v>
      </c>
      <c r="X211" s="80" t="b">
        <v>0</v>
      </c>
      <c r="Y211" s="80" t="b">
        <v>1</v>
      </c>
      <c r="Z211" s="80" t="b">
        <v>1</v>
      </c>
      <c r="AA211" s="80" t="b">
        <v>1</v>
      </c>
      <c r="AB211" s="80" t="b">
        <v>1</v>
      </c>
      <c r="AC211" s="80" t="b">
        <v>0</v>
      </c>
      <c r="AD211" s="80" t="b">
        <v>0</v>
      </c>
      <c r="AE211" s="80" t="b">
        <v>1</v>
      </c>
      <c r="AF211" s="80" t="b">
        <v>1</v>
      </c>
      <c r="AG211" s="80" t="b">
        <v>1</v>
      </c>
      <c r="AH211" s="80" t="b">
        <v>1</v>
      </c>
      <c r="AI211" s="80" t="b">
        <v>1</v>
      </c>
      <c r="AJ211" s="80" t="b">
        <v>1</v>
      </c>
      <c r="AK211" s="80" t="b">
        <v>1</v>
      </c>
      <c r="AL211" s="80" t="b">
        <v>1</v>
      </c>
      <c r="AM211" s="80" t="b">
        <v>0</v>
      </c>
      <c r="AN211" s="80" t="b">
        <v>0</v>
      </c>
      <c r="AO211" s="80" t="b">
        <v>0</v>
      </c>
      <c r="AP211" s="77" t="str">
        <f t="shared" si="9"/>
        <v>not filled</v>
      </c>
      <c r="AQ211" s="54">
        <f t="shared" si="8"/>
        <v>6</v>
      </c>
    </row>
    <row r="212">
      <c r="A212" s="77" t="s">
        <v>739</v>
      </c>
      <c r="B212" s="77"/>
      <c r="C212" s="78" t="s">
        <v>740</v>
      </c>
      <c r="D212" s="77" t="s">
        <v>725</v>
      </c>
      <c r="E212" s="79">
        <f t="shared" si="1"/>
        <v>33</v>
      </c>
      <c r="F212" s="79">
        <f t="shared" si="2"/>
        <v>2</v>
      </c>
      <c r="G212" s="55">
        <f t="shared" si="3"/>
        <v>6.060606061</v>
      </c>
      <c r="H212" s="77"/>
      <c r="I212" s="80" t="b">
        <v>0</v>
      </c>
      <c r="J212" s="80" t="b">
        <v>0</v>
      </c>
      <c r="K212" s="80" t="b">
        <v>0</v>
      </c>
      <c r="L212" s="80" t="b">
        <v>0</v>
      </c>
      <c r="M212" s="80" t="b">
        <v>0</v>
      </c>
      <c r="N212" s="80" t="b">
        <v>1</v>
      </c>
      <c r="O212" s="80" t="b">
        <v>0</v>
      </c>
      <c r="P212" s="80" t="b">
        <v>0</v>
      </c>
      <c r="Q212" s="80" t="b">
        <v>0</v>
      </c>
      <c r="R212" s="80" t="b">
        <v>0</v>
      </c>
      <c r="S212" s="80" t="b">
        <v>0</v>
      </c>
      <c r="T212" s="80" t="b">
        <v>0</v>
      </c>
      <c r="U212" s="80" t="b">
        <v>0</v>
      </c>
      <c r="V212" s="80" t="b">
        <v>0</v>
      </c>
      <c r="W212" s="80" t="b">
        <v>0</v>
      </c>
      <c r="X212" s="80" t="b">
        <v>0</v>
      </c>
      <c r="Y212" s="80" t="b">
        <v>0</v>
      </c>
      <c r="Z212" s="80" t="b">
        <v>0</v>
      </c>
      <c r="AA212" s="80" t="b">
        <v>0</v>
      </c>
      <c r="AB212" s="80" t="b">
        <v>0</v>
      </c>
      <c r="AC212" s="80" t="b">
        <v>0</v>
      </c>
      <c r="AD212" s="80" t="b">
        <v>0</v>
      </c>
      <c r="AE212" s="80" t="b">
        <v>0</v>
      </c>
      <c r="AF212" s="80" t="b">
        <v>0</v>
      </c>
      <c r="AG212" s="80" t="b">
        <v>0</v>
      </c>
      <c r="AH212" s="80" t="b">
        <v>0</v>
      </c>
      <c r="AI212" s="80" t="b">
        <v>0</v>
      </c>
      <c r="AJ212" s="80" t="b">
        <v>0</v>
      </c>
      <c r="AK212" s="80" t="b">
        <v>0</v>
      </c>
      <c r="AL212" s="80" t="b">
        <v>0</v>
      </c>
      <c r="AM212" s="80" t="b">
        <v>0</v>
      </c>
      <c r="AN212" s="80" t="b">
        <v>0</v>
      </c>
      <c r="AO212" s="80" t="b">
        <v>1</v>
      </c>
      <c r="AP212" s="77" t="str">
        <f t="shared" si="9"/>
        <v>not filled</v>
      </c>
      <c r="AQ212" s="54">
        <f t="shared" si="8"/>
        <v>1</v>
      </c>
    </row>
    <row r="213">
      <c r="A213" s="77" t="s">
        <v>741</v>
      </c>
      <c r="B213" s="77"/>
      <c r="C213" s="81" t="s">
        <v>742</v>
      </c>
      <c r="D213" s="77" t="s">
        <v>725</v>
      </c>
      <c r="E213" s="79">
        <f t="shared" si="1"/>
        <v>26</v>
      </c>
      <c r="F213" s="79">
        <f t="shared" si="2"/>
        <v>23</v>
      </c>
      <c r="G213" s="52">
        <f t="shared" si="3"/>
        <v>88.46153846</v>
      </c>
      <c r="H213" s="77"/>
      <c r="I213" s="80" t="b">
        <v>0</v>
      </c>
      <c r="J213" s="80" t="b">
        <v>1</v>
      </c>
      <c r="K213" s="80" t="b">
        <v>1</v>
      </c>
      <c r="L213" s="80" t="b">
        <v>1</v>
      </c>
      <c r="M213" s="80" t="b">
        <v>0</v>
      </c>
      <c r="N213" s="80" t="b">
        <v>0</v>
      </c>
      <c r="O213" s="80" t="b">
        <v>1</v>
      </c>
      <c r="P213" s="80" t="b">
        <v>1</v>
      </c>
      <c r="Q213" s="80" t="b">
        <v>1</v>
      </c>
      <c r="R213" s="80" t="b">
        <v>1</v>
      </c>
      <c r="S213" s="80" t="b">
        <v>1</v>
      </c>
      <c r="T213" s="80" t="b">
        <v>1</v>
      </c>
      <c r="U213" s="80" t="b">
        <v>1</v>
      </c>
      <c r="V213" s="80" t="b">
        <v>1</v>
      </c>
      <c r="W213" s="80" t="b">
        <v>1</v>
      </c>
      <c r="X213" s="80" t="b">
        <v>1</v>
      </c>
      <c r="Y213" s="80" t="b">
        <v>1</v>
      </c>
      <c r="Z213" s="80" t="b">
        <v>1</v>
      </c>
      <c r="AA213" s="80" t="b">
        <v>1</v>
      </c>
      <c r="AB213" s="80" t="b">
        <v>1</v>
      </c>
      <c r="AC213" s="80" t="b">
        <v>1</v>
      </c>
      <c r="AD213" s="80" t="b">
        <v>1</v>
      </c>
      <c r="AE213" s="80" t="b">
        <v>1</v>
      </c>
      <c r="AF213" s="80" t="b">
        <v>1</v>
      </c>
      <c r="AG213" s="80" t="b">
        <v>1</v>
      </c>
      <c r="AH213" s="80" t="b">
        <v>1</v>
      </c>
      <c r="AI213" s="77"/>
      <c r="AJ213" s="77"/>
      <c r="AK213" s="77"/>
      <c r="AL213" s="77"/>
      <c r="AM213" s="77"/>
      <c r="AN213" s="77"/>
      <c r="AO213" s="77"/>
      <c r="AP213" s="77"/>
      <c r="AQ213" s="54">
        <f t="shared" si="8"/>
        <v>2</v>
      </c>
    </row>
    <row r="214">
      <c r="A214" s="77" t="s">
        <v>743</v>
      </c>
      <c r="B214" s="77" t="s">
        <v>744</v>
      </c>
      <c r="C214" s="78" t="s">
        <v>745</v>
      </c>
      <c r="D214" s="77" t="s">
        <v>725</v>
      </c>
      <c r="E214" s="79">
        <f t="shared" si="1"/>
        <v>33</v>
      </c>
      <c r="F214" s="79">
        <f t="shared" si="2"/>
        <v>29</v>
      </c>
      <c r="G214" s="52">
        <f t="shared" si="3"/>
        <v>87.87878788</v>
      </c>
      <c r="H214" s="77"/>
      <c r="I214" s="80" t="b">
        <v>1</v>
      </c>
      <c r="J214" s="80" t="b">
        <v>1</v>
      </c>
      <c r="K214" s="80" t="b">
        <v>1</v>
      </c>
      <c r="L214" s="80" t="b">
        <v>1</v>
      </c>
      <c r="M214" s="80" t="b">
        <v>0</v>
      </c>
      <c r="N214" s="80" t="b">
        <v>0</v>
      </c>
      <c r="O214" s="80" t="b">
        <v>0</v>
      </c>
      <c r="P214" s="80" t="b">
        <v>1</v>
      </c>
      <c r="Q214" s="80" t="b">
        <v>1</v>
      </c>
      <c r="R214" s="80" t="b">
        <v>1</v>
      </c>
      <c r="S214" s="80" t="b">
        <v>1</v>
      </c>
      <c r="T214" s="80" t="b">
        <v>1</v>
      </c>
      <c r="U214" s="80" t="b">
        <v>1</v>
      </c>
      <c r="V214" s="80" t="b">
        <v>1</v>
      </c>
      <c r="W214" s="80" t="b">
        <v>1</v>
      </c>
      <c r="X214" s="80" t="b">
        <v>1</v>
      </c>
      <c r="Y214" s="80" t="b">
        <v>1</v>
      </c>
      <c r="Z214" s="80" t="b">
        <v>1</v>
      </c>
      <c r="AA214" s="80" t="b">
        <v>1</v>
      </c>
      <c r="AB214" s="80" t="b">
        <v>1</v>
      </c>
      <c r="AC214" s="80" t="b">
        <v>1</v>
      </c>
      <c r="AD214" s="80" t="b">
        <v>1</v>
      </c>
      <c r="AE214" s="80" t="b">
        <v>0</v>
      </c>
      <c r="AF214" s="80" t="b">
        <v>1</v>
      </c>
      <c r="AG214" s="80" t="b">
        <v>1</v>
      </c>
      <c r="AH214" s="80" t="b">
        <v>1</v>
      </c>
      <c r="AI214" s="80" t="b">
        <v>1</v>
      </c>
      <c r="AJ214" s="80" t="b">
        <v>1</v>
      </c>
      <c r="AK214" s="80" t="b">
        <v>1</v>
      </c>
      <c r="AL214" s="80" t="b">
        <v>1</v>
      </c>
      <c r="AM214" s="80" t="b">
        <v>1</v>
      </c>
      <c r="AN214" s="80" t="b">
        <v>1</v>
      </c>
      <c r="AO214" s="80" t="b">
        <v>1</v>
      </c>
      <c r="AP214" s="77" t="str">
        <f t="shared" ref="AP214:AP215" si="10">IF(ISNUMBER(MATCH(C214,Sheet5!AA3:AA44,0)),"filled","not filled")</f>
        <v>not filled</v>
      </c>
      <c r="AQ214" s="54">
        <f t="shared" si="8"/>
        <v>9</v>
      </c>
    </row>
    <row r="215">
      <c r="A215" s="77" t="s">
        <v>746</v>
      </c>
      <c r="B215" s="77" t="s">
        <v>747</v>
      </c>
      <c r="C215" s="78" t="s">
        <v>748</v>
      </c>
      <c r="D215" s="77" t="s">
        <v>725</v>
      </c>
      <c r="E215" s="79">
        <f t="shared" si="1"/>
        <v>33</v>
      </c>
      <c r="F215" s="79">
        <f t="shared" si="2"/>
        <v>28</v>
      </c>
      <c r="G215" s="52">
        <f t="shared" si="3"/>
        <v>84.84848485</v>
      </c>
      <c r="H215" s="77"/>
      <c r="I215" s="80" t="b">
        <v>1</v>
      </c>
      <c r="J215" s="80" t="b">
        <v>1</v>
      </c>
      <c r="K215" s="80" t="b">
        <v>1</v>
      </c>
      <c r="L215" s="80" t="b">
        <v>1</v>
      </c>
      <c r="M215" s="80" t="b">
        <v>1</v>
      </c>
      <c r="N215" s="80" t="b">
        <v>1</v>
      </c>
      <c r="O215" s="80" t="b">
        <v>0</v>
      </c>
      <c r="P215" s="80" t="b">
        <v>0</v>
      </c>
      <c r="Q215" s="80" t="b">
        <v>1</v>
      </c>
      <c r="R215" s="80" t="b">
        <v>0</v>
      </c>
      <c r="S215" s="80" t="b">
        <v>1</v>
      </c>
      <c r="T215" s="80" t="b">
        <v>1</v>
      </c>
      <c r="U215" s="80" t="b">
        <v>1</v>
      </c>
      <c r="V215" s="80" t="b">
        <v>1</v>
      </c>
      <c r="W215" s="80" t="b">
        <v>1</v>
      </c>
      <c r="X215" s="80" t="b">
        <v>1</v>
      </c>
      <c r="Y215" s="80" t="b">
        <v>1</v>
      </c>
      <c r="Z215" s="80" t="b">
        <v>1</v>
      </c>
      <c r="AA215" s="80" t="b">
        <v>1</v>
      </c>
      <c r="AB215" s="80" t="b">
        <v>1</v>
      </c>
      <c r="AC215" s="80" t="b">
        <v>1</v>
      </c>
      <c r="AD215" s="80" t="b">
        <v>1</v>
      </c>
      <c r="AE215" s="80" t="b">
        <v>1</v>
      </c>
      <c r="AF215" s="80" t="b">
        <v>1</v>
      </c>
      <c r="AG215" s="80" t="b">
        <v>0</v>
      </c>
      <c r="AH215" s="80" t="b">
        <v>0</v>
      </c>
      <c r="AI215" s="80" t="b">
        <v>1</v>
      </c>
      <c r="AJ215" s="80" t="b">
        <v>1</v>
      </c>
      <c r="AK215" s="80" t="b">
        <v>1</v>
      </c>
      <c r="AL215" s="80" t="b">
        <v>1</v>
      </c>
      <c r="AM215" s="80" t="b">
        <v>1</v>
      </c>
      <c r="AN215" s="80" t="b">
        <v>1</v>
      </c>
      <c r="AO215" s="80" t="b">
        <v>1</v>
      </c>
      <c r="AP215" s="77" t="str">
        <f t="shared" si="10"/>
        <v>not filled</v>
      </c>
      <c r="AQ215" s="54">
        <f t="shared" si="8"/>
        <v>7</v>
      </c>
    </row>
    <row r="216">
      <c r="A216" s="77" t="s">
        <v>749</v>
      </c>
      <c r="B216" s="77"/>
      <c r="C216" s="78" t="s">
        <v>750</v>
      </c>
      <c r="D216" s="77" t="s">
        <v>725</v>
      </c>
      <c r="E216" s="79">
        <f t="shared" si="1"/>
        <v>33</v>
      </c>
      <c r="F216" s="79">
        <f t="shared" si="2"/>
        <v>31</v>
      </c>
      <c r="G216" s="52">
        <f t="shared" si="3"/>
        <v>93.93939394</v>
      </c>
      <c r="H216" s="77"/>
      <c r="I216" s="80" t="b">
        <v>0</v>
      </c>
      <c r="J216" s="80" t="b">
        <v>1</v>
      </c>
      <c r="K216" s="80" t="b">
        <v>1</v>
      </c>
      <c r="L216" s="80" t="b">
        <v>1</v>
      </c>
      <c r="M216" s="80" t="b">
        <v>1</v>
      </c>
      <c r="N216" s="80" t="b">
        <v>1</v>
      </c>
      <c r="O216" s="80" t="b">
        <v>1</v>
      </c>
      <c r="P216" s="80" t="b">
        <v>1</v>
      </c>
      <c r="Q216" s="80" t="b">
        <v>1</v>
      </c>
      <c r="R216" s="80" t="b">
        <v>1</v>
      </c>
      <c r="S216" s="80" t="b">
        <v>1</v>
      </c>
      <c r="T216" s="80" t="b">
        <v>1</v>
      </c>
      <c r="U216" s="80" t="b">
        <v>1</v>
      </c>
      <c r="V216" s="80" t="b">
        <v>1</v>
      </c>
      <c r="W216" s="80" t="b">
        <v>1</v>
      </c>
      <c r="X216" s="80" t="b">
        <v>1</v>
      </c>
      <c r="Y216" s="80" t="b">
        <v>1</v>
      </c>
      <c r="Z216" s="80" t="b">
        <v>1</v>
      </c>
      <c r="AA216" s="80" t="b">
        <v>1</v>
      </c>
      <c r="AB216" s="80" t="b">
        <v>1</v>
      </c>
      <c r="AC216" s="80" t="b">
        <v>1</v>
      </c>
      <c r="AD216" s="80" t="b">
        <v>1</v>
      </c>
      <c r="AE216" s="80" t="b">
        <v>0</v>
      </c>
      <c r="AF216" s="80" t="b">
        <v>1</v>
      </c>
      <c r="AG216" s="80" t="b">
        <v>1</v>
      </c>
      <c r="AH216" s="80" t="b">
        <v>1</v>
      </c>
      <c r="AI216" s="80" t="b">
        <v>1</v>
      </c>
      <c r="AJ216" s="80" t="b">
        <v>1</v>
      </c>
      <c r="AK216" s="80" t="b">
        <v>1</v>
      </c>
      <c r="AL216" s="80" t="b">
        <v>1</v>
      </c>
      <c r="AM216" s="80" t="b">
        <v>1</v>
      </c>
      <c r="AN216" s="80" t="b">
        <v>1</v>
      </c>
      <c r="AO216" s="80" t="b">
        <v>1</v>
      </c>
      <c r="AP216" s="77" t="str">
        <f>IF(ISNUMBER(MATCH(trim(C216),Sheet5!AA5:AA46,0)),"filled","not filled")</f>
        <v>not filled</v>
      </c>
      <c r="AQ216" s="54">
        <f t="shared" si="8"/>
        <v>9</v>
      </c>
    </row>
    <row r="217">
      <c r="A217" s="77" t="s">
        <v>751</v>
      </c>
      <c r="B217" s="77"/>
      <c r="C217" s="78" t="s">
        <v>752</v>
      </c>
      <c r="D217" s="77" t="s">
        <v>725</v>
      </c>
      <c r="E217" s="79">
        <f t="shared" si="1"/>
        <v>31</v>
      </c>
      <c r="F217" s="79">
        <f t="shared" si="2"/>
        <v>30</v>
      </c>
      <c r="G217" s="52">
        <f t="shared" si="3"/>
        <v>96.77419355</v>
      </c>
      <c r="H217" s="77"/>
      <c r="I217" s="80" t="b">
        <v>1</v>
      </c>
      <c r="J217" s="80" t="b">
        <v>1</v>
      </c>
      <c r="K217" s="80" t="b">
        <v>1</v>
      </c>
      <c r="L217" s="80" t="b">
        <v>1</v>
      </c>
      <c r="M217" s="80" t="b">
        <v>1</v>
      </c>
      <c r="N217" s="80" t="b">
        <v>1</v>
      </c>
      <c r="O217" s="80" t="b">
        <v>1</v>
      </c>
      <c r="P217" s="80" t="b">
        <v>1</v>
      </c>
      <c r="Q217" s="80" t="b">
        <v>0</v>
      </c>
      <c r="R217" s="80" t="b">
        <v>1</v>
      </c>
      <c r="S217" s="80" t="b">
        <v>1</v>
      </c>
      <c r="T217" s="80" t="b">
        <v>1</v>
      </c>
      <c r="U217" s="80" t="b">
        <v>1</v>
      </c>
      <c r="V217" s="80" t="b">
        <v>1</v>
      </c>
      <c r="W217" s="80" t="b">
        <v>1</v>
      </c>
      <c r="X217" s="80" t="b">
        <v>1</v>
      </c>
      <c r="Y217" s="80" t="b">
        <v>1</v>
      </c>
      <c r="Z217" s="80" t="b">
        <v>1</v>
      </c>
      <c r="AA217" s="80" t="b">
        <v>1</v>
      </c>
      <c r="AB217" s="80" t="b">
        <v>1</v>
      </c>
      <c r="AC217" s="80" t="b">
        <v>1</v>
      </c>
      <c r="AD217" s="80" t="b">
        <v>1</v>
      </c>
      <c r="AE217" s="80" t="b">
        <v>1</v>
      </c>
      <c r="AF217" s="80" t="b">
        <v>1</v>
      </c>
      <c r="AG217" s="80" t="b">
        <v>1</v>
      </c>
      <c r="AH217" s="80" t="b">
        <v>1</v>
      </c>
      <c r="AI217" s="80" t="b">
        <v>1</v>
      </c>
      <c r="AJ217" s="80" t="b">
        <v>1</v>
      </c>
      <c r="AK217" s="80" t="b">
        <v>1</v>
      </c>
      <c r="AL217" s="80" t="b">
        <v>1</v>
      </c>
      <c r="AM217" s="80" t="b">
        <v>1</v>
      </c>
      <c r="AN217" s="77"/>
      <c r="AO217" s="77"/>
      <c r="AP217" s="77" t="str">
        <f t="shared" ref="AP217:AP235" si="11">IF(ISNUMBER(MATCH(C217,Sheet5!AA6:AA47,0)),"filled","not filled")</f>
        <v>not filled</v>
      </c>
      <c r="AQ217" s="54">
        <f t="shared" si="8"/>
        <v>7</v>
      </c>
    </row>
    <row r="218">
      <c r="A218" s="77" t="s">
        <v>753</v>
      </c>
      <c r="B218" s="77"/>
      <c r="C218" s="78" t="s">
        <v>754</v>
      </c>
      <c r="D218" s="77" t="s">
        <v>725</v>
      </c>
      <c r="E218" s="79">
        <f t="shared" si="1"/>
        <v>33</v>
      </c>
      <c r="F218" s="79">
        <f t="shared" si="2"/>
        <v>26</v>
      </c>
      <c r="G218" s="52">
        <f t="shared" si="3"/>
        <v>78.78787879</v>
      </c>
      <c r="H218" s="77"/>
      <c r="I218" s="80" t="b">
        <v>1</v>
      </c>
      <c r="J218" s="80" t="b">
        <v>1</v>
      </c>
      <c r="K218" s="80" t="b">
        <v>0</v>
      </c>
      <c r="L218" s="80" t="b">
        <v>0</v>
      </c>
      <c r="M218" s="80" t="b">
        <v>1</v>
      </c>
      <c r="N218" s="80" t="b">
        <v>1</v>
      </c>
      <c r="O218" s="80" t="b">
        <v>0</v>
      </c>
      <c r="P218" s="80" t="b">
        <v>0</v>
      </c>
      <c r="Q218" s="80" t="b">
        <v>1</v>
      </c>
      <c r="R218" s="80" t="b">
        <v>1</v>
      </c>
      <c r="S218" s="80" t="b">
        <v>1</v>
      </c>
      <c r="T218" s="80" t="b">
        <v>1</v>
      </c>
      <c r="U218" s="80" t="b">
        <v>1</v>
      </c>
      <c r="V218" s="80" t="b">
        <v>1</v>
      </c>
      <c r="W218" s="80" t="b">
        <v>1</v>
      </c>
      <c r="X218" s="80" t="b">
        <v>1</v>
      </c>
      <c r="Y218" s="80" t="b">
        <v>0</v>
      </c>
      <c r="Z218" s="80" t="b">
        <v>1</v>
      </c>
      <c r="AA218" s="80" t="b">
        <v>1</v>
      </c>
      <c r="AB218" s="80" t="b">
        <v>0</v>
      </c>
      <c r="AC218" s="80" t="b">
        <v>1</v>
      </c>
      <c r="AD218" s="80" t="b">
        <v>1</v>
      </c>
      <c r="AE218" s="80" t="b">
        <v>1</v>
      </c>
      <c r="AF218" s="80" t="b">
        <v>1</v>
      </c>
      <c r="AG218" s="80" t="b">
        <v>1</v>
      </c>
      <c r="AH218" s="80" t="b">
        <v>1</v>
      </c>
      <c r="AI218" s="80" t="b">
        <v>1</v>
      </c>
      <c r="AJ218" s="80" t="b">
        <v>1</v>
      </c>
      <c r="AK218" s="80" t="b">
        <v>0</v>
      </c>
      <c r="AL218" s="80" t="b">
        <v>1</v>
      </c>
      <c r="AM218" s="80" t="b">
        <v>1</v>
      </c>
      <c r="AN218" s="80" t="b">
        <v>1</v>
      </c>
      <c r="AO218" s="80" t="b">
        <v>1</v>
      </c>
      <c r="AP218" s="77" t="str">
        <f t="shared" si="11"/>
        <v>not filled</v>
      </c>
      <c r="AQ218" s="54">
        <f t="shared" si="8"/>
        <v>8</v>
      </c>
    </row>
    <row r="219">
      <c r="A219" s="77" t="s">
        <v>755</v>
      </c>
      <c r="B219" s="77"/>
      <c r="C219" s="78" t="s">
        <v>756</v>
      </c>
      <c r="D219" s="77" t="s">
        <v>725</v>
      </c>
      <c r="E219" s="79">
        <f t="shared" si="1"/>
        <v>33</v>
      </c>
      <c r="F219" s="79">
        <f t="shared" si="2"/>
        <v>23</v>
      </c>
      <c r="G219" s="55">
        <f t="shared" si="3"/>
        <v>69.6969697</v>
      </c>
      <c r="H219" s="77"/>
      <c r="I219" s="80" t="b">
        <v>1</v>
      </c>
      <c r="J219" s="80" t="b">
        <v>0</v>
      </c>
      <c r="K219" s="80" t="b">
        <v>1</v>
      </c>
      <c r="L219" s="80" t="b">
        <v>1</v>
      </c>
      <c r="M219" s="80" t="b">
        <v>0</v>
      </c>
      <c r="N219" s="80" t="b">
        <v>0</v>
      </c>
      <c r="O219" s="80" t="b">
        <v>0</v>
      </c>
      <c r="P219" s="80" t="b">
        <v>0</v>
      </c>
      <c r="Q219" s="80" t="b">
        <v>0</v>
      </c>
      <c r="R219" s="80" t="b">
        <v>1</v>
      </c>
      <c r="S219" s="80" t="b">
        <v>1</v>
      </c>
      <c r="T219" s="80" t="b">
        <v>1</v>
      </c>
      <c r="U219" s="80" t="b">
        <v>1</v>
      </c>
      <c r="V219" s="80" t="b">
        <v>1</v>
      </c>
      <c r="W219" s="80" t="b">
        <v>0</v>
      </c>
      <c r="X219" s="80" t="b">
        <v>0</v>
      </c>
      <c r="Y219" s="80" t="b">
        <v>0</v>
      </c>
      <c r="Z219" s="80" t="b">
        <v>1</v>
      </c>
      <c r="AA219" s="80" t="b">
        <v>1</v>
      </c>
      <c r="AB219" s="80" t="b">
        <v>1</v>
      </c>
      <c r="AC219" s="80" t="b">
        <v>1</v>
      </c>
      <c r="AD219" s="80" t="b">
        <v>1</v>
      </c>
      <c r="AE219" s="80" t="b">
        <v>1</v>
      </c>
      <c r="AF219" s="80" t="b">
        <v>1</v>
      </c>
      <c r="AG219" s="80" t="b">
        <v>0</v>
      </c>
      <c r="AH219" s="80" t="b">
        <v>1</v>
      </c>
      <c r="AI219" s="80" t="b">
        <v>1</v>
      </c>
      <c r="AJ219" s="80" t="b">
        <v>1</v>
      </c>
      <c r="AK219" s="80" t="b">
        <v>1</v>
      </c>
      <c r="AL219" s="80" t="b">
        <v>1</v>
      </c>
      <c r="AM219" s="80" t="b">
        <v>1</v>
      </c>
      <c r="AN219" s="80" t="b">
        <v>1</v>
      </c>
      <c r="AO219" s="80" t="b">
        <v>1</v>
      </c>
      <c r="AP219" s="77" t="str">
        <f t="shared" si="11"/>
        <v>not filled</v>
      </c>
      <c r="AQ219" s="54">
        <f t="shared" si="8"/>
        <v>8</v>
      </c>
    </row>
    <row r="220">
      <c r="A220" s="77" t="s">
        <v>757</v>
      </c>
      <c r="B220" s="77" t="s">
        <v>758</v>
      </c>
      <c r="C220" s="78" t="s">
        <v>759</v>
      </c>
      <c r="D220" s="77" t="s">
        <v>725</v>
      </c>
      <c r="E220" s="79">
        <f t="shared" si="1"/>
        <v>33</v>
      </c>
      <c r="F220" s="79">
        <f t="shared" si="2"/>
        <v>24</v>
      </c>
      <c r="G220" s="52">
        <f t="shared" si="3"/>
        <v>72.72727273</v>
      </c>
      <c r="H220" s="77"/>
      <c r="I220" s="80" t="b">
        <v>0</v>
      </c>
      <c r="J220" s="80" t="b">
        <v>0</v>
      </c>
      <c r="K220" s="80" t="b">
        <v>1</v>
      </c>
      <c r="L220" s="80" t="b">
        <v>0</v>
      </c>
      <c r="M220" s="80" t="b">
        <v>1</v>
      </c>
      <c r="N220" s="80" t="b">
        <v>1</v>
      </c>
      <c r="O220" s="80" t="b">
        <v>1</v>
      </c>
      <c r="P220" s="80" t="b">
        <v>1</v>
      </c>
      <c r="Q220" s="80" t="b">
        <v>0</v>
      </c>
      <c r="R220" s="80" t="b">
        <v>0</v>
      </c>
      <c r="S220" s="80" t="b">
        <v>0</v>
      </c>
      <c r="T220" s="80" t="b">
        <v>0</v>
      </c>
      <c r="U220" s="80" t="b">
        <v>1</v>
      </c>
      <c r="V220" s="80" t="b">
        <v>1</v>
      </c>
      <c r="W220" s="80" t="b">
        <v>1</v>
      </c>
      <c r="X220" s="80" t="b">
        <v>1</v>
      </c>
      <c r="Y220" s="80" t="b">
        <v>0</v>
      </c>
      <c r="Z220" s="80" t="b">
        <v>0</v>
      </c>
      <c r="AA220" s="80" t="b">
        <v>1</v>
      </c>
      <c r="AB220" s="80" t="b">
        <v>1</v>
      </c>
      <c r="AC220" s="80" t="b">
        <v>1</v>
      </c>
      <c r="AD220" s="80" t="b">
        <v>1</v>
      </c>
      <c r="AE220" s="80" t="b">
        <v>1</v>
      </c>
      <c r="AF220" s="80" t="b">
        <v>1</v>
      </c>
      <c r="AG220" s="80" t="b">
        <v>1</v>
      </c>
      <c r="AH220" s="80" t="b">
        <v>1</v>
      </c>
      <c r="AI220" s="80" t="b">
        <v>1</v>
      </c>
      <c r="AJ220" s="80" t="b">
        <v>1</v>
      </c>
      <c r="AK220" s="80" t="b">
        <v>1</v>
      </c>
      <c r="AL220" s="80" t="b">
        <v>1</v>
      </c>
      <c r="AM220" s="80" t="b">
        <v>1</v>
      </c>
      <c r="AN220" s="80" t="b">
        <v>1</v>
      </c>
      <c r="AO220" s="80" t="b">
        <v>1</v>
      </c>
      <c r="AP220" s="77" t="str">
        <f t="shared" si="11"/>
        <v>not filled</v>
      </c>
      <c r="AQ220" s="54">
        <f t="shared" si="8"/>
        <v>9</v>
      </c>
    </row>
    <row r="221">
      <c r="A221" s="77" t="s">
        <v>760</v>
      </c>
      <c r="B221" s="77"/>
      <c r="C221" s="78" t="s">
        <v>761</v>
      </c>
      <c r="D221" s="77" t="s">
        <v>725</v>
      </c>
      <c r="E221" s="79">
        <f t="shared" si="1"/>
        <v>33</v>
      </c>
      <c r="F221" s="79">
        <f t="shared" si="2"/>
        <v>9</v>
      </c>
      <c r="G221" s="55">
        <f t="shared" si="3"/>
        <v>27.27272727</v>
      </c>
      <c r="H221" s="77"/>
      <c r="I221" s="80" t="b">
        <v>0</v>
      </c>
      <c r="J221" s="80" t="b">
        <v>0</v>
      </c>
      <c r="K221" s="80" t="b">
        <v>0</v>
      </c>
      <c r="L221" s="80" t="b">
        <v>0</v>
      </c>
      <c r="M221" s="80" t="b">
        <v>0</v>
      </c>
      <c r="N221" s="80" t="b">
        <v>1</v>
      </c>
      <c r="O221" s="80" t="b">
        <v>0</v>
      </c>
      <c r="P221" s="80" t="b">
        <v>0</v>
      </c>
      <c r="Q221" s="80" t="b">
        <v>0</v>
      </c>
      <c r="R221" s="80" t="b">
        <v>0</v>
      </c>
      <c r="S221" s="80" t="b">
        <v>0</v>
      </c>
      <c r="T221" s="80" t="b">
        <v>0</v>
      </c>
      <c r="U221" s="80" t="b">
        <v>0</v>
      </c>
      <c r="V221" s="80" t="b">
        <v>0</v>
      </c>
      <c r="W221" s="80" t="b">
        <v>0</v>
      </c>
      <c r="X221" s="80" t="b">
        <v>0</v>
      </c>
      <c r="Y221" s="80" t="b">
        <v>0</v>
      </c>
      <c r="Z221" s="80" t="b">
        <v>1</v>
      </c>
      <c r="AA221" s="80" t="b">
        <v>0</v>
      </c>
      <c r="AB221" s="80" t="b">
        <v>0</v>
      </c>
      <c r="AC221" s="80" t="b">
        <v>0</v>
      </c>
      <c r="AD221" s="80" t="b">
        <v>1</v>
      </c>
      <c r="AE221" s="80" t="b">
        <v>1</v>
      </c>
      <c r="AF221" s="80" t="b">
        <v>1</v>
      </c>
      <c r="AG221" s="80" t="b">
        <v>1</v>
      </c>
      <c r="AH221" s="80" t="b">
        <v>0</v>
      </c>
      <c r="AI221" s="80" t="b">
        <v>0</v>
      </c>
      <c r="AJ221" s="80" t="b">
        <v>0</v>
      </c>
      <c r="AK221" s="80" t="b">
        <v>1</v>
      </c>
      <c r="AL221" s="80" t="b">
        <v>0</v>
      </c>
      <c r="AM221" s="80" t="b">
        <v>0</v>
      </c>
      <c r="AN221" s="80" t="b">
        <v>1</v>
      </c>
      <c r="AO221" s="80" t="b">
        <v>1</v>
      </c>
      <c r="AP221" s="77" t="str">
        <f t="shared" si="11"/>
        <v>not filled</v>
      </c>
      <c r="AQ221" s="54">
        <f t="shared" si="8"/>
        <v>4</v>
      </c>
    </row>
    <row r="222">
      <c r="A222" s="77" t="s">
        <v>762</v>
      </c>
      <c r="B222" s="77" t="s">
        <v>763</v>
      </c>
      <c r="C222" s="78" t="s">
        <v>764</v>
      </c>
      <c r="D222" s="77" t="s">
        <v>725</v>
      </c>
      <c r="E222" s="79">
        <f t="shared" si="1"/>
        <v>33</v>
      </c>
      <c r="F222" s="79">
        <f t="shared" si="2"/>
        <v>15</v>
      </c>
      <c r="G222" s="55">
        <f t="shared" si="3"/>
        <v>45.45454545</v>
      </c>
      <c r="H222" s="77"/>
      <c r="I222" s="80" t="b">
        <v>0</v>
      </c>
      <c r="J222" s="80" t="b">
        <v>0</v>
      </c>
      <c r="K222" s="80" t="b">
        <v>0</v>
      </c>
      <c r="L222" s="80" t="b">
        <v>0</v>
      </c>
      <c r="M222" s="80" t="b">
        <v>0</v>
      </c>
      <c r="N222" s="80" t="b">
        <v>0</v>
      </c>
      <c r="O222" s="80" t="b">
        <v>0</v>
      </c>
      <c r="P222" s="80" t="b">
        <v>0</v>
      </c>
      <c r="Q222" s="80" t="b">
        <v>0</v>
      </c>
      <c r="R222" s="80" t="b">
        <v>1</v>
      </c>
      <c r="S222" s="80" t="b">
        <v>0</v>
      </c>
      <c r="T222" s="80" t="b">
        <v>0</v>
      </c>
      <c r="U222" s="80" t="b">
        <v>0</v>
      </c>
      <c r="V222" s="80" t="b">
        <v>0</v>
      </c>
      <c r="W222" s="80" t="b">
        <v>0</v>
      </c>
      <c r="X222" s="80" t="b">
        <v>0</v>
      </c>
      <c r="Y222" s="80" t="b">
        <v>0</v>
      </c>
      <c r="Z222" s="80" t="b">
        <v>0</v>
      </c>
      <c r="AA222" s="80" t="b">
        <v>1</v>
      </c>
      <c r="AB222" s="80" t="b">
        <v>1</v>
      </c>
      <c r="AC222" s="80" t="b">
        <v>1</v>
      </c>
      <c r="AD222" s="80" t="b">
        <v>1</v>
      </c>
      <c r="AE222" s="80" t="b">
        <v>0</v>
      </c>
      <c r="AF222" s="80" t="b">
        <v>1</v>
      </c>
      <c r="AG222" s="80" t="b">
        <v>1</v>
      </c>
      <c r="AH222" s="80" t="b">
        <v>1</v>
      </c>
      <c r="AI222" s="80" t="b">
        <v>1</v>
      </c>
      <c r="AJ222" s="80" t="b">
        <v>1</v>
      </c>
      <c r="AK222" s="80" t="b">
        <v>1</v>
      </c>
      <c r="AL222" s="80" t="b">
        <v>1</v>
      </c>
      <c r="AM222" s="80" t="b">
        <v>1</v>
      </c>
      <c r="AN222" s="80" t="b">
        <v>1</v>
      </c>
      <c r="AO222" s="80" t="b">
        <v>1</v>
      </c>
      <c r="AP222" s="77" t="str">
        <f t="shared" si="11"/>
        <v>not filled</v>
      </c>
      <c r="AQ222" s="54">
        <f t="shared" si="8"/>
        <v>9</v>
      </c>
    </row>
    <row r="223">
      <c r="A223" s="77" t="s">
        <v>765</v>
      </c>
      <c r="B223" s="77" t="s">
        <v>766</v>
      </c>
      <c r="C223" s="78" t="s">
        <v>767</v>
      </c>
      <c r="D223" s="77" t="s">
        <v>725</v>
      </c>
      <c r="E223" s="79">
        <f t="shared" si="1"/>
        <v>33</v>
      </c>
      <c r="F223" s="79">
        <f t="shared" si="2"/>
        <v>22</v>
      </c>
      <c r="G223" s="55">
        <f t="shared" si="3"/>
        <v>66.66666667</v>
      </c>
      <c r="H223" s="77"/>
      <c r="I223" s="80" t="b">
        <v>1</v>
      </c>
      <c r="J223" s="80" t="b">
        <v>1</v>
      </c>
      <c r="K223" s="80" t="b">
        <v>1</v>
      </c>
      <c r="L223" s="80" t="b">
        <v>1</v>
      </c>
      <c r="M223" s="80" t="b">
        <v>1</v>
      </c>
      <c r="N223" s="80" t="b">
        <v>1</v>
      </c>
      <c r="O223" s="80" t="b">
        <v>1</v>
      </c>
      <c r="P223" s="80" t="b">
        <v>1</v>
      </c>
      <c r="Q223" s="80" t="b">
        <v>1</v>
      </c>
      <c r="R223" s="80" t="b">
        <v>1</v>
      </c>
      <c r="S223" s="80" t="b">
        <v>1</v>
      </c>
      <c r="T223" s="80" t="b">
        <v>1</v>
      </c>
      <c r="U223" s="80" t="b">
        <v>0</v>
      </c>
      <c r="V223" s="80" t="b">
        <v>1</v>
      </c>
      <c r="W223" s="80" t="b">
        <v>1</v>
      </c>
      <c r="X223" s="80" t="b">
        <v>0</v>
      </c>
      <c r="Y223" s="80" t="b">
        <v>1</v>
      </c>
      <c r="Z223" s="80" t="b">
        <v>1</v>
      </c>
      <c r="AA223" s="80" t="b">
        <v>0</v>
      </c>
      <c r="AB223" s="80" t="b">
        <v>0</v>
      </c>
      <c r="AC223" s="80" t="b">
        <v>0</v>
      </c>
      <c r="AD223" s="80" t="b">
        <v>1</v>
      </c>
      <c r="AE223" s="80" t="b">
        <v>0</v>
      </c>
      <c r="AF223" s="80" t="b">
        <v>1</v>
      </c>
      <c r="AG223" s="80" t="b">
        <v>0</v>
      </c>
      <c r="AH223" s="80" t="b">
        <v>0</v>
      </c>
      <c r="AI223" s="80" t="b">
        <v>1</v>
      </c>
      <c r="AJ223" s="80" t="b">
        <v>0</v>
      </c>
      <c r="AK223" s="80" t="b">
        <v>0</v>
      </c>
      <c r="AL223" s="80" t="b">
        <v>1</v>
      </c>
      <c r="AM223" s="80" t="b">
        <v>1</v>
      </c>
      <c r="AN223" s="80" t="b">
        <v>0</v>
      </c>
      <c r="AO223" s="80" t="b">
        <v>1</v>
      </c>
      <c r="AP223" s="77" t="str">
        <f t="shared" si="11"/>
        <v>not filled</v>
      </c>
      <c r="AQ223" s="54">
        <f t="shared" si="8"/>
        <v>4</v>
      </c>
    </row>
    <row r="224">
      <c r="A224" s="77" t="s">
        <v>768</v>
      </c>
      <c r="B224" s="77" t="s">
        <v>769</v>
      </c>
      <c r="C224" s="78" t="s">
        <v>770</v>
      </c>
      <c r="D224" s="77" t="s">
        <v>725</v>
      </c>
      <c r="E224" s="79">
        <f t="shared" si="1"/>
        <v>33</v>
      </c>
      <c r="F224" s="79">
        <f t="shared" si="2"/>
        <v>4</v>
      </c>
      <c r="G224" s="55">
        <f t="shared" si="3"/>
        <v>12.12121212</v>
      </c>
      <c r="H224" s="77"/>
      <c r="I224" s="80" t="b">
        <v>0</v>
      </c>
      <c r="J224" s="80" t="b">
        <v>0</v>
      </c>
      <c r="K224" s="80" t="b">
        <v>0</v>
      </c>
      <c r="L224" s="80" t="b">
        <v>0</v>
      </c>
      <c r="M224" s="80" t="b">
        <v>0</v>
      </c>
      <c r="N224" s="80" t="b">
        <v>0</v>
      </c>
      <c r="O224" s="80" t="b">
        <v>0</v>
      </c>
      <c r="P224" s="80" t="b">
        <v>0</v>
      </c>
      <c r="Q224" s="80" t="b">
        <v>0</v>
      </c>
      <c r="R224" s="80" t="b">
        <v>0</v>
      </c>
      <c r="S224" s="80" t="b">
        <v>0</v>
      </c>
      <c r="T224" s="80" t="b">
        <v>0</v>
      </c>
      <c r="U224" s="80" t="b">
        <v>0</v>
      </c>
      <c r="V224" s="80" t="b">
        <v>0</v>
      </c>
      <c r="W224" s="80" t="b">
        <v>0</v>
      </c>
      <c r="X224" s="80" t="b">
        <v>0</v>
      </c>
      <c r="Y224" s="80" t="b">
        <v>0</v>
      </c>
      <c r="Z224" s="80" t="b">
        <v>0</v>
      </c>
      <c r="AA224" s="80" t="b">
        <v>0</v>
      </c>
      <c r="AB224" s="80" t="b">
        <v>0</v>
      </c>
      <c r="AC224" s="80" t="b">
        <v>0</v>
      </c>
      <c r="AD224" s="80" t="b">
        <v>0</v>
      </c>
      <c r="AE224" s="80" t="b">
        <v>0</v>
      </c>
      <c r="AF224" s="80" t="b">
        <v>0</v>
      </c>
      <c r="AG224" s="80" t="b">
        <v>0</v>
      </c>
      <c r="AH224" s="80" t="b">
        <v>1</v>
      </c>
      <c r="AI224" s="80" t="b">
        <v>0</v>
      </c>
      <c r="AJ224" s="80" t="b">
        <v>0</v>
      </c>
      <c r="AK224" s="80" t="b">
        <v>0</v>
      </c>
      <c r="AL224" s="80" t="b">
        <v>0</v>
      </c>
      <c r="AM224" s="80" t="b">
        <v>1</v>
      </c>
      <c r="AN224" s="80" t="b">
        <v>1</v>
      </c>
      <c r="AO224" s="80" t="b">
        <v>1</v>
      </c>
      <c r="AP224" s="77" t="str">
        <f t="shared" si="11"/>
        <v>not filled</v>
      </c>
      <c r="AQ224" s="54">
        <f t="shared" si="8"/>
        <v>4</v>
      </c>
    </row>
    <row r="225">
      <c r="A225" s="77" t="s">
        <v>771</v>
      </c>
      <c r="B225" s="77"/>
      <c r="C225" s="81" t="s">
        <v>772</v>
      </c>
      <c r="D225" s="77" t="s">
        <v>725</v>
      </c>
      <c r="E225" s="79">
        <f t="shared" si="1"/>
        <v>29</v>
      </c>
      <c r="F225" s="79">
        <f t="shared" si="2"/>
        <v>25</v>
      </c>
      <c r="G225" s="52">
        <f t="shared" si="3"/>
        <v>86.20689655</v>
      </c>
      <c r="H225" s="77"/>
      <c r="I225" s="80" t="b">
        <v>1</v>
      </c>
      <c r="J225" s="80" t="b">
        <v>1</v>
      </c>
      <c r="K225" s="80" t="b">
        <v>1</v>
      </c>
      <c r="L225" s="80" t="b">
        <v>1</v>
      </c>
      <c r="M225" s="80" t="b">
        <v>1</v>
      </c>
      <c r="N225" s="80" t="b">
        <v>1</v>
      </c>
      <c r="O225" s="80" t="b">
        <v>1</v>
      </c>
      <c r="P225" s="80" t="b">
        <v>1</v>
      </c>
      <c r="Q225" s="80" t="b">
        <v>0</v>
      </c>
      <c r="R225" s="80" t="b">
        <v>1</v>
      </c>
      <c r="S225" s="80" t="b">
        <v>1</v>
      </c>
      <c r="T225" s="80" t="b">
        <v>1</v>
      </c>
      <c r="U225" s="80" t="b">
        <v>1</v>
      </c>
      <c r="V225" s="80" t="b">
        <v>1</v>
      </c>
      <c r="W225" s="80" t="b">
        <v>1</v>
      </c>
      <c r="X225" s="80" t="b">
        <v>1</v>
      </c>
      <c r="Y225" s="80" t="b">
        <v>0</v>
      </c>
      <c r="Z225" s="80" t="b">
        <v>1</v>
      </c>
      <c r="AA225" s="80" t="b">
        <v>0</v>
      </c>
      <c r="AB225" s="80" t="b">
        <v>0</v>
      </c>
      <c r="AC225" s="80" t="b">
        <v>1</v>
      </c>
      <c r="AD225" s="80" t="b">
        <v>1</v>
      </c>
      <c r="AE225" s="80" t="b">
        <v>1</v>
      </c>
      <c r="AF225" s="80" t="b">
        <v>1</v>
      </c>
      <c r="AG225" s="80" t="b">
        <v>1</v>
      </c>
      <c r="AH225" s="80" t="b">
        <v>1</v>
      </c>
      <c r="AI225" s="80" t="b">
        <v>1</v>
      </c>
      <c r="AJ225" s="80" t="b">
        <v>1</v>
      </c>
      <c r="AK225" s="80" t="b">
        <v>1</v>
      </c>
      <c r="AL225" s="77"/>
      <c r="AM225" s="77"/>
      <c r="AN225" s="77"/>
      <c r="AO225" s="77"/>
      <c r="AP225" s="77" t="str">
        <f t="shared" si="11"/>
        <v>not filled</v>
      </c>
      <c r="AQ225" s="54">
        <f t="shared" si="8"/>
        <v>5</v>
      </c>
    </row>
    <row r="226">
      <c r="A226" s="77" t="s">
        <v>773</v>
      </c>
      <c r="B226" s="77"/>
      <c r="C226" s="78" t="s">
        <v>774</v>
      </c>
      <c r="D226" s="77" t="s">
        <v>725</v>
      </c>
      <c r="E226" s="79">
        <f t="shared" si="1"/>
        <v>33</v>
      </c>
      <c r="F226" s="79">
        <f t="shared" si="2"/>
        <v>8</v>
      </c>
      <c r="G226" s="55">
        <f t="shared" si="3"/>
        <v>24.24242424</v>
      </c>
      <c r="H226" s="77"/>
      <c r="I226" s="80" t="b">
        <v>0</v>
      </c>
      <c r="J226" s="80" t="b">
        <v>0</v>
      </c>
      <c r="K226" s="80" t="b">
        <v>0</v>
      </c>
      <c r="L226" s="80" t="b">
        <v>0</v>
      </c>
      <c r="M226" s="80" t="b">
        <v>0</v>
      </c>
      <c r="N226" s="80" t="b">
        <v>0</v>
      </c>
      <c r="O226" s="80" t="b">
        <v>0</v>
      </c>
      <c r="P226" s="80" t="b">
        <v>0</v>
      </c>
      <c r="Q226" s="80" t="b">
        <v>0</v>
      </c>
      <c r="R226" s="80" t="b">
        <v>0</v>
      </c>
      <c r="S226" s="80" t="b">
        <v>0</v>
      </c>
      <c r="T226" s="80" t="b">
        <v>0</v>
      </c>
      <c r="U226" s="80" t="b">
        <v>0</v>
      </c>
      <c r="V226" s="80" t="b">
        <v>0</v>
      </c>
      <c r="W226" s="80" t="b">
        <v>0</v>
      </c>
      <c r="X226" s="80" t="b">
        <v>0</v>
      </c>
      <c r="Y226" s="80" t="b">
        <v>0</v>
      </c>
      <c r="Z226" s="80" t="b">
        <v>0</v>
      </c>
      <c r="AA226" s="80" t="b">
        <v>0</v>
      </c>
      <c r="AB226" s="80" t="b">
        <v>0</v>
      </c>
      <c r="AC226" s="80" t="b">
        <v>1</v>
      </c>
      <c r="AD226" s="80" t="b">
        <v>1</v>
      </c>
      <c r="AE226" s="80" t="b">
        <v>0</v>
      </c>
      <c r="AF226" s="80" t="b">
        <v>1</v>
      </c>
      <c r="AG226" s="80" t="b">
        <v>1</v>
      </c>
      <c r="AH226" s="80" t="b">
        <v>1</v>
      </c>
      <c r="AI226" s="80" t="b">
        <v>0</v>
      </c>
      <c r="AJ226" s="80" t="b">
        <v>1</v>
      </c>
      <c r="AK226" s="80" t="b">
        <v>1</v>
      </c>
      <c r="AL226" s="80" t="b">
        <v>0</v>
      </c>
      <c r="AM226" s="80" t="b">
        <v>0</v>
      </c>
      <c r="AN226" s="80" t="b">
        <v>1</v>
      </c>
      <c r="AO226" s="80" t="b">
        <v>0</v>
      </c>
      <c r="AP226" s="77" t="str">
        <f t="shared" si="11"/>
        <v>not filled</v>
      </c>
      <c r="AQ226" s="54">
        <f t="shared" si="8"/>
        <v>5</v>
      </c>
    </row>
    <row r="227">
      <c r="A227" s="77" t="s">
        <v>775</v>
      </c>
      <c r="B227" s="77"/>
      <c r="C227" s="78" t="s">
        <v>776</v>
      </c>
      <c r="D227" s="77" t="s">
        <v>725</v>
      </c>
      <c r="E227" s="79">
        <f t="shared" si="1"/>
        <v>33</v>
      </c>
      <c r="F227" s="79">
        <f t="shared" si="2"/>
        <v>15</v>
      </c>
      <c r="G227" s="55">
        <f t="shared" si="3"/>
        <v>45.45454545</v>
      </c>
      <c r="H227" s="77"/>
      <c r="I227" s="80" t="b">
        <v>0</v>
      </c>
      <c r="J227" s="80" t="b">
        <v>0</v>
      </c>
      <c r="K227" s="80" t="b">
        <v>0</v>
      </c>
      <c r="L227" s="80" t="b">
        <v>0</v>
      </c>
      <c r="M227" s="80" t="b">
        <v>0</v>
      </c>
      <c r="N227" s="80" t="b">
        <v>0</v>
      </c>
      <c r="O227" s="80" t="b">
        <v>0</v>
      </c>
      <c r="P227" s="80" t="b">
        <v>0</v>
      </c>
      <c r="Q227" s="80" t="b">
        <v>0</v>
      </c>
      <c r="R227" s="80" t="b">
        <v>0</v>
      </c>
      <c r="S227" s="80" t="b">
        <v>1</v>
      </c>
      <c r="T227" s="80" t="b">
        <v>0</v>
      </c>
      <c r="U227" s="80" t="b">
        <v>1</v>
      </c>
      <c r="V227" s="80" t="b">
        <v>1</v>
      </c>
      <c r="W227" s="80" t="b">
        <v>1</v>
      </c>
      <c r="X227" s="80" t="b">
        <v>1</v>
      </c>
      <c r="Y227" s="80" t="b">
        <v>0</v>
      </c>
      <c r="Z227" s="80" t="b">
        <v>0</v>
      </c>
      <c r="AA227" s="80" t="b">
        <v>0</v>
      </c>
      <c r="AB227" s="80" t="b">
        <v>1</v>
      </c>
      <c r="AC227" s="80" t="b">
        <v>1</v>
      </c>
      <c r="AD227" s="80" t="b">
        <v>1</v>
      </c>
      <c r="AE227" s="80" t="b">
        <v>1</v>
      </c>
      <c r="AF227" s="80" t="b">
        <v>1</v>
      </c>
      <c r="AG227" s="80" t="b">
        <v>1</v>
      </c>
      <c r="AH227" s="80" t="b">
        <v>0</v>
      </c>
      <c r="AI227" s="80" t="b">
        <v>0</v>
      </c>
      <c r="AJ227" s="80" t="b">
        <v>0</v>
      </c>
      <c r="AK227" s="80" t="b">
        <v>1</v>
      </c>
      <c r="AL227" s="80" t="b">
        <v>1</v>
      </c>
      <c r="AM227" s="80" t="b">
        <v>1</v>
      </c>
      <c r="AN227" s="80" t="b">
        <v>1</v>
      </c>
      <c r="AO227" s="80" t="b">
        <v>0</v>
      </c>
      <c r="AP227" s="77" t="str">
        <f t="shared" si="11"/>
        <v>not filled</v>
      </c>
      <c r="AQ227" s="54">
        <f t="shared" si="8"/>
        <v>5</v>
      </c>
    </row>
    <row r="228">
      <c r="A228" s="77" t="s">
        <v>777</v>
      </c>
      <c r="B228" s="77"/>
      <c r="C228" s="78" t="s">
        <v>778</v>
      </c>
      <c r="D228" s="77" t="s">
        <v>725</v>
      </c>
      <c r="E228" s="79">
        <f t="shared" si="1"/>
        <v>33</v>
      </c>
      <c r="F228" s="79">
        <f t="shared" si="2"/>
        <v>29</v>
      </c>
      <c r="G228" s="52">
        <f t="shared" si="3"/>
        <v>87.87878788</v>
      </c>
      <c r="H228" s="77"/>
      <c r="I228" s="80" t="b">
        <v>1</v>
      </c>
      <c r="J228" s="80" t="b">
        <v>1</v>
      </c>
      <c r="K228" s="80" t="b">
        <v>1</v>
      </c>
      <c r="L228" s="80" t="b">
        <v>1</v>
      </c>
      <c r="M228" s="80" t="b">
        <v>1</v>
      </c>
      <c r="N228" s="80" t="b">
        <v>1</v>
      </c>
      <c r="O228" s="80" t="b">
        <v>1</v>
      </c>
      <c r="P228" s="80" t="b">
        <v>1</v>
      </c>
      <c r="Q228" s="80" t="b">
        <v>1</v>
      </c>
      <c r="R228" s="80" t="b">
        <v>1</v>
      </c>
      <c r="S228" s="80" t="b">
        <v>1</v>
      </c>
      <c r="T228" s="80" t="b">
        <v>1</v>
      </c>
      <c r="U228" s="80" t="b">
        <v>1</v>
      </c>
      <c r="V228" s="80" t="b">
        <v>1</v>
      </c>
      <c r="W228" s="80" t="b">
        <v>1</v>
      </c>
      <c r="X228" s="80" t="b">
        <v>1</v>
      </c>
      <c r="Y228" s="80" t="b">
        <v>1</v>
      </c>
      <c r="Z228" s="80" t="b">
        <v>1</v>
      </c>
      <c r="AA228" s="80" t="b">
        <v>1</v>
      </c>
      <c r="AB228" s="80" t="b">
        <v>1</v>
      </c>
      <c r="AC228" s="80" t="b">
        <v>1</v>
      </c>
      <c r="AD228" s="80" t="b">
        <v>1</v>
      </c>
      <c r="AE228" s="80" t="b">
        <v>0</v>
      </c>
      <c r="AF228" s="80" t="b">
        <v>1</v>
      </c>
      <c r="AG228" s="80" t="b">
        <v>1</v>
      </c>
      <c r="AH228" s="80" t="b">
        <v>1</v>
      </c>
      <c r="AI228" s="80" t="b">
        <v>1</v>
      </c>
      <c r="AJ228" s="80" t="b">
        <v>1</v>
      </c>
      <c r="AK228" s="80" t="b">
        <v>0</v>
      </c>
      <c r="AL228" s="80" t="b">
        <v>0</v>
      </c>
      <c r="AM228" s="80" t="b">
        <v>1</v>
      </c>
      <c r="AN228" s="80" t="b">
        <v>1</v>
      </c>
      <c r="AO228" s="80" t="b">
        <v>0</v>
      </c>
      <c r="AP228" s="77" t="str">
        <f t="shared" si="11"/>
        <v>not filled</v>
      </c>
      <c r="AQ228" s="54">
        <f t="shared" si="8"/>
        <v>6</v>
      </c>
    </row>
    <row r="229">
      <c r="A229" s="77" t="s">
        <v>779</v>
      </c>
      <c r="B229" s="77"/>
      <c r="C229" s="81" t="s">
        <v>778</v>
      </c>
      <c r="D229" s="77" t="s">
        <v>725</v>
      </c>
      <c r="E229" s="79">
        <f t="shared" si="1"/>
        <v>28</v>
      </c>
      <c r="F229" s="79">
        <f t="shared" si="2"/>
        <v>24</v>
      </c>
      <c r="G229" s="52">
        <f t="shared" si="3"/>
        <v>85.71428571</v>
      </c>
      <c r="H229" s="77"/>
      <c r="I229" s="80" t="b">
        <v>1</v>
      </c>
      <c r="J229" s="80" t="b">
        <v>1</v>
      </c>
      <c r="K229" s="80" t="b">
        <v>0</v>
      </c>
      <c r="L229" s="80" t="b">
        <v>1</v>
      </c>
      <c r="M229" s="80" t="b">
        <v>1</v>
      </c>
      <c r="N229" s="80" t="b">
        <v>1</v>
      </c>
      <c r="O229" s="80" t="b">
        <v>1</v>
      </c>
      <c r="P229" s="80" t="b">
        <v>1</v>
      </c>
      <c r="Q229" s="80" t="b">
        <v>0</v>
      </c>
      <c r="R229" s="80" t="b">
        <v>0</v>
      </c>
      <c r="S229" s="80" t="b">
        <v>1</v>
      </c>
      <c r="T229" s="80" t="b">
        <v>1</v>
      </c>
      <c r="U229" s="80" t="b">
        <v>1</v>
      </c>
      <c r="V229" s="80" t="b">
        <v>1</v>
      </c>
      <c r="W229" s="80" t="b">
        <v>1</v>
      </c>
      <c r="X229" s="80" t="b">
        <v>1</v>
      </c>
      <c r="Y229" s="80" t="b">
        <v>1</v>
      </c>
      <c r="Z229" s="80" t="b">
        <v>1</v>
      </c>
      <c r="AA229" s="80" t="b">
        <v>0</v>
      </c>
      <c r="AB229" s="80" t="b">
        <v>1</v>
      </c>
      <c r="AC229" s="80" t="b">
        <v>1</v>
      </c>
      <c r="AD229" s="80" t="b">
        <v>1</v>
      </c>
      <c r="AE229" s="80" t="b">
        <v>1</v>
      </c>
      <c r="AF229" s="80" t="b">
        <v>1</v>
      </c>
      <c r="AG229" s="80" t="b">
        <v>1</v>
      </c>
      <c r="AH229" s="80" t="b">
        <v>1</v>
      </c>
      <c r="AI229" s="80" t="b">
        <v>1</v>
      </c>
      <c r="AJ229" s="80" t="b">
        <v>1</v>
      </c>
      <c r="AK229" s="77"/>
      <c r="AL229" s="77"/>
      <c r="AM229" s="77"/>
      <c r="AN229" s="77"/>
      <c r="AO229" s="77"/>
      <c r="AP229" s="77" t="str">
        <f t="shared" si="11"/>
        <v>not filled</v>
      </c>
      <c r="AQ229" s="54">
        <f t="shared" si="8"/>
        <v>4</v>
      </c>
    </row>
    <row r="230">
      <c r="A230" s="77" t="s">
        <v>780</v>
      </c>
      <c r="B230" s="77" t="s">
        <v>781</v>
      </c>
      <c r="C230" s="78" t="s">
        <v>782</v>
      </c>
      <c r="D230" s="77" t="s">
        <v>725</v>
      </c>
      <c r="E230" s="79">
        <f t="shared" si="1"/>
        <v>33</v>
      </c>
      <c r="F230" s="79">
        <f t="shared" si="2"/>
        <v>17</v>
      </c>
      <c r="G230" s="55">
        <f t="shared" si="3"/>
        <v>51.51515152</v>
      </c>
      <c r="H230" s="77"/>
      <c r="I230" s="80" t="b">
        <v>0</v>
      </c>
      <c r="J230" s="80" t="b">
        <v>0</v>
      </c>
      <c r="K230" s="80" t="b">
        <v>0</v>
      </c>
      <c r="L230" s="80" t="b">
        <v>0</v>
      </c>
      <c r="M230" s="80" t="b">
        <v>0</v>
      </c>
      <c r="N230" s="80" t="b">
        <v>0</v>
      </c>
      <c r="O230" s="80" t="b">
        <v>0</v>
      </c>
      <c r="P230" s="80" t="b">
        <v>0</v>
      </c>
      <c r="Q230" s="80" t="b">
        <v>1</v>
      </c>
      <c r="R230" s="80" t="b">
        <v>1</v>
      </c>
      <c r="S230" s="80" t="b">
        <v>1</v>
      </c>
      <c r="T230" s="80" t="b">
        <v>1</v>
      </c>
      <c r="U230" s="80" t="b">
        <v>1</v>
      </c>
      <c r="V230" s="80" t="b">
        <v>1</v>
      </c>
      <c r="W230" s="80" t="b">
        <v>0</v>
      </c>
      <c r="X230" s="80" t="b">
        <v>0</v>
      </c>
      <c r="Y230" s="80" t="b">
        <v>0</v>
      </c>
      <c r="Z230" s="80" t="b">
        <v>0</v>
      </c>
      <c r="AA230" s="80" t="b">
        <v>0</v>
      </c>
      <c r="AB230" s="80" t="b">
        <v>0</v>
      </c>
      <c r="AC230" s="80" t="b">
        <v>1</v>
      </c>
      <c r="AD230" s="80" t="b">
        <v>1</v>
      </c>
      <c r="AE230" s="80" t="b">
        <v>0</v>
      </c>
      <c r="AF230" s="80" t="b">
        <v>1</v>
      </c>
      <c r="AG230" s="80" t="b">
        <v>1</v>
      </c>
      <c r="AH230" s="80" t="b">
        <v>1</v>
      </c>
      <c r="AI230" s="80" t="b">
        <v>0</v>
      </c>
      <c r="AJ230" s="80" t="b">
        <v>1</v>
      </c>
      <c r="AK230" s="80" t="b">
        <v>1</v>
      </c>
      <c r="AL230" s="80" t="b">
        <v>1</v>
      </c>
      <c r="AM230" s="80" t="b">
        <v>1</v>
      </c>
      <c r="AN230" s="80" t="b">
        <v>1</v>
      </c>
      <c r="AO230" s="80" t="b">
        <v>1</v>
      </c>
      <c r="AP230" s="77" t="str">
        <f t="shared" si="11"/>
        <v>not filled</v>
      </c>
      <c r="AQ230" s="54">
        <f t="shared" si="8"/>
        <v>8</v>
      </c>
    </row>
    <row r="231">
      <c r="A231" s="77" t="s">
        <v>783</v>
      </c>
      <c r="B231" s="77" t="s">
        <v>784</v>
      </c>
      <c r="C231" s="78" t="s">
        <v>785</v>
      </c>
      <c r="D231" s="77" t="s">
        <v>725</v>
      </c>
      <c r="E231" s="79">
        <f t="shared" si="1"/>
        <v>33</v>
      </c>
      <c r="F231" s="79">
        <f t="shared" si="2"/>
        <v>30</v>
      </c>
      <c r="G231" s="52">
        <f t="shared" si="3"/>
        <v>90.90909091</v>
      </c>
      <c r="H231" s="77"/>
      <c r="I231" s="80" t="b">
        <v>1</v>
      </c>
      <c r="J231" s="80" t="b">
        <v>1</v>
      </c>
      <c r="K231" s="80" t="b">
        <v>1</v>
      </c>
      <c r="L231" s="80" t="b">
        <v>1</v>
      </c>
      <c r="M231" s="80" t="b">
        <v>1</v>
      </c>
      <c r="N231" s="80" t="b">
        <v>1</v>
      </c>
      <c r="O231" s="80" t="b">
        <v>1</v>
      </c>
      <c r="P231" s="80" t="b">
        <v>1</v>
      </c>
      <c r="Q231" s="80" t="b">
        <v>1</v>
      </c>
      <c r="R231" s="80" t="b">
        <v>0</v>
      </c>
      <c r="S231" s="80" t="b">
        <v>1</v>
      </c>
      <c r="T231" s="80" t="b">
        <v>1</v>
      </c>
      <c r="U231" s="80" t="b">
        <v>1</v>
      </c>
      <c r="V231" s="80" t="b">
        <v>1</v>
      </c>
      <c r="W231" s="80" t="b">
        <v>1</v>
      </c>
      <c r="X231" s="80" t="b">
        <v>1</v>
      </c>
      <c r="Y231" s="80" t="b">
        <v>1</v>
      </c>
      <c r="Z231" s="80" t="b">
        <v>1</v>
      </c>
      <c r="AA231" s="80" t="b">
        <v>1</v>
      </c>
      <c r="AB231" s="80" t="b">
        <v>0</v>
      </c>
      <c r="AC231" s="80" t="b">
        <v>1</v>
      </c>
      <c r="AD231" s="80" t="b">
        <v>1</v>
      </c>
      <c r="AE231" s="80" t="b">
        <v>1</v>
      </c>
      <c r="AF231" s="80" t="b">
        <v>1</v>
      </c>
      <c r="AG231" s="80" t="b">
        <v>1</v>
      </c>
      <c r="AH231" s="80" t="b">
        <v>1</v>
      </c>
      <c r="AI231" s="80" t="b">
        <v>1</v>
      </c>
      <c r="AJ231" s="80" t="b">
        <v>1</v>
      </c>
      <c r="AK231" s="80" t="b">
        <v>0</v>
      </c>
      <c r="AL231" s="80" t="b">
        <v>1</v>
      </c>
      <c r="AM231" s="80" t="b">
        <v>1</v>
      </c>
      <c r="AN231" s="80" t="b">
        <v>1</v>
      </c>
      <c r="AO231" s="80" t="b">
        <v>1</v>
      </c>
      <c r="AP231" s="77" t="str">
        <f t="shared" si="11"/>
        <v>not filled</v>
      </c>
      <c r="AQ231" s="54">
        <f t="shared" si="8"/>
        <v>8</v>
      </c>
    </row>
    <row r="232">
      <c r="A232" s="77" t="s">
        <v>786</v>
      </c>
      <c r="B232" s="77"/>
      <c r="C232" s="78" t="s">
        <v>787</v>
      </c>
      <c r="D232" s="77" t="s">
        <v>725</v>
      </c>
      <c r="E232" s="79">
        <f t="shared" si="1"/>
        <v>32</v>
      </c>
      <c r="F232" s="79">
        <f t="shared" si="2"/>
        <v>4</v>
      </c>
      <c r="G232" s="55">
        <f t="shared" si="3"/>
        <v>12.5</v>
      </c>
      <c r="H232" s="77"/>
      <c r="I232" s="80" t="b">
        <v>0</v>
      </c>
      <c r="J232" s="80" t="b">
        <v>0</v>
      </c>
      <c r="K232" s="80" t="b">
        <v>0</v>
      </c>
      <c r="L232" s="80" t="b">
        <v>0</v>
      </c>
      <c r="M232" s="80" t="b">
        <v>0</v>
      </c>
      <c r="N232" s="80" t="b">
        <v>0</v>
      </c>
      <c r="O232" s="80" t="b">
        <v>0</v>
      </c>
      <c r="P232" s="80" t="b">
        <v>0</v>
      </c>
      <c r="Q232" s="80" t="b">
        <v>0</v>
      </c>
      <c r="R232" s="80" t="b">
        <v>0</v>
      </c>
      <c r="S232" s="80" t="b">
        <v>0</v>
      </c>
      <c r="T232" s="80" t="b">
        <v>0</v>
      </c>
      <c r="U232" s="80" t="b">
        <v>0</v>
      </c>
      <c r="V232" s="80" t="b">
        <v>0</v>
      </c>
      <c r="W232" s="80" t="b">
        <v>0</v>
      </c>
      <c r="X232" s="80" t="b">
        <v>0</v>
      </c>
      <c r="Y232" s="80" t="b">
        <v>0</v>
      </c>
      <c r="Z232" s="80" t="b">
        <v>0</v>
      </c>
      <c r="AA232" s="80" t="b">
        <v>0</v>
      </c>
      <c r="AB232" s="80" t="b">
        <v>0</v>
      </c>
      <c r="AC232" s="80" t="b">
        <v>0</v>
      </c>
      <c r="AD232" s="80" t="b">
        <v>0</v>
      </c>
      <c r="AE232" s="80" t="b">
        <v>0</v>
      </c>
      <c r="AF232" s="80" t="b">
        <v>0</v>
      </c>
      <c r="AG232" s="80" t="b">
        <v>0</v>
      </c>
      <c r="AH232" s="80" t="b">
        <v>1</v>
      </c>
      <c r="AI232" s="80" t="b">
        <v>1</v>
      </c>
      <c r="AJ232" s="80" t="b">
        <v>0</v>
      </c>
      <c r="AK232" s="80" t="b">
        <v>0</v>
      </c>
      <c r="AL232" s="80" t="b">
        <v>0</v>
      </c>
      <c r="AM232" s="80" t="b">
        <v>1</v>
      </c>
      <c r="AN232" s="80" t="b">
        <v>1</v>
      </c>
      <c r="AO232" s="77"/>
      <c r="AP232" s="77" t="str">
        <f t="shared" si="11"/>
        <v>not filled</v>
      </c>
      <c r="AQ232" s="54">
        <f t="shared" si="8"/>
        <v>4</v>
      </c>
    </row>
    <row r="233">
      <c r="A233" s="77" t="s">
        <v>788</v>
      </c>
      <c r="B233" s="77"/>
      <c r="C233" s="78" t="s">
        <v>789</v>
      </c>
      <c r="D233" s="77" t="s">
        <v>725</v>
      </c>
      <c r="E233" s="79">
        <f t="shared" si="1"/>
        <v>33</v>
      </c>
      <c r="F233" s="79">
        <f t="shared" si="2"/>
        <v>24</v>
      </c>
      <c r="G233" s="52">
        <f t="shared" si="3"/>
        <v>72.72727273</v>
      </c>
      <c r="H233" s="77"/>
      <c r="I233" s="80" t="b">
        <v>1</v>
      </c>
      <c r="J233" s="80" t="b">
        <v>1</v>
      </c>
      <c r="K233" s="80" t="b">
        <v>1</v>
      </c>
      <c r="L233" s="80" t="b">
        <v>1</v>
      </c>
      <c r="M233" s="80" t="b">
        <v>1</v>
      </c>
      <c r="N233" s="80" t="b">
        <v>1</v>
      </c>
      <c r="O233" s="80" t="b">
        <v>1</v>
      </c>
      <c r="P233" s="80" t="b">
        <v>1</v>
      </c>
      <c r="Q233" s="80" t="b">
        <v>0</v>
      </c>
      <c r="R233" s="80" t="b">
        <v>1</v>
      </c>
      <c r="S233" s="80" t="b">
        <v>1</v>
      </c>
      <c r="T233" s="80" t="b">
        <v>1</v>
      </c>
      <c r="U233" s="80" t="b">
        <v>1</v>
      </c>
      <c r="V233" s="80" t="b">
        <v>1</v>
      </c>
      <c r="W233" s="80" t="b">
        <v>0</v>
      </c>
      <c r="X233" s="80" t="b">
        <v>0</v>
      </c>
      <c r="Y233" s="80" t="b">
        <v>1</v>
      </c>
      <c r="Z233" s="80" t="b">
        <v>1</v>
      </c>
      <c r="AA233" s="80" t="b">
        <v>0</v>
      </c>
      <c r="AB233" s="80" t="b">
        <v>1</v>
      </c>
      <c r="AC233" s="80" t="b">
        <v>1</v>
      </c>
      <c r="AD233" s="80" t="b">
        <v>1</v>
      </c>
      <c r="AE233" s="80" t="b">
        <v>1</v>
      </c>
      <c r="AF233" s="80" t="b">
        <v>0</v>
      </c>
      <c r="AG233" s="80" t="b">
        <v>1</v>
      </c>
      <c r="AH233" s="80" t="b">
        <v>0</v>
      </c>
      <c r="AI233" s="80" t="b">
        <v>0</v>
      </c>
      <c r="AJ233" s="80" t="b">
        <v>1</v>
      </c>
      <c r="AK233" s="80" t="b">
        <v>0</v>
      </c>
      <c r="AL233" s="80" t="b">
        <v>1</v>
      </c>
      <c r="AM233" s="80" t="b">
        <v>0</v>
      </c>
      <c r="AN233" s="80" t="b">
        <v>1</v>
      </c>
      <c r="AO233" s="80" t="b">
        <v>1</v>
      </c>
      <c r="AP233" s="77" t="str">
        <f t="shared" si="11"/>
        <v>not filled</v>
      </c>
      <c r="AQ233" s="54">
        <f t="shared" si="8"/>
        <v>5</v>
      </c>
    </row>
    <row r="234">
      <c r="A234" s="77" t="s">
        <v>790</v>
      </c>
      <c r="B234" s="77"/>
      <c r="C234" s="78" t="s">
        <v>791</v>
      </c>
      <c r="D234" s="77" t="s">
        <v>725</v>
      </c>
      <c r="E234" s="79">
        <f t="shared" si="1"/>
        <v>33</v>
      </c>
      <c r="F234" s="79">
        <f t="shared" si="2"/>
        <v>23</v>
      </c>
      <c r="G234" s="55">
        <f t="shared" si="3"/>
        <v>69.6969697</v>
      </c>
      <c r="H234" s="77"/>
      <c r="I234" s="80" t="b">
        <v>1</v>
      </c>
      <c r="J234" s="80" t="b">
        <v>1</v>
      </c>
      <c r="K234" s="80" t="b">
        <v>1</v>
      </c>
      <c r="L234" s="80" t="b">
        <v>1</v>
      </c>
      <c r="M234" s="80" t="b">
        <v>1</v>
      </c>
      <c r="N234" s="80" t="b">
        <v>1</v>
      </c>
      <c r="O234" s="80" t="b">
        <v>0</v>
      </c>
      <c r="P234" s="80" t="b">
        <v>1</v>
      </c>
      <c r="Q234" s="80" t="b">
        <v>1</v>
      </c>
      <c r="R234" s="80" t="b">
        <v>0</v>
      </c>
      <c r="S234" s="80" t="b">
        <v>1</v>
      </c>
      <c r="T234" s="80" t="b">
        <v>0</v>
      </c>
      <c r="U234" s="80" t="b">
        <v>0</v>
      </c>
      <c r="V234" s="80" t="b">
        <v>0</v>
      </c>
      <c r="W234" s="80" t="b">
        <v>1</v>
      </c>
      <c r="X234" s="80" t="b">
        <v>1</v>
      </c>
      <c r="Y234" s="80" t="b">
        <v>1</v>
      </c>
      <c r="Z234" s="80" t="b">
        <v>1</v>
      </c>
      <c r="AA234" s="80" t="b">
        <v>0</v>
      </c>
      <c r="AB234" s="80" t="b">
        <v>0</v>
      </c>
      <c r="AC234" s="80" t="b">
        <v>1</v>
      </c>
      <c r="AD234" s="80" t="b">
        <v>1</v>
      </c>
      <c r="AE234" s="80" t="b">
        <v>0</v>
      </c>
      <c r="AF234" s="80" t="b">
        <v>0</v>
      </c>
      <c r="AG234" s="80" t="b">
        <v>0</v>
      </c>
      <c r="AH234" s="80" t="b">
        <v>1</v>
      </c>
      <c r="AI234" s="80" t="b">
        <v>1</v>
      </c>
      <c r="AJ234" s="80" t="b">
        <v>1</v>
      </c>
      <c r="AK234" s="80" t="b">
        <v>1</v>
      </c>
      <c r="AL234" s="80" t="b">
        <v>1</v>
      </c>
      <c r="AM234" s="80" t="b">
        <v>1</v>
      </c>
      <c r="AN234" s="80" t="b">
        <v>1</v>
      </c>
      <c r="AO234" s="80" t="b">
        <v>1</v>
      </c>
      <c r="AP234" s="77" t="str">
        <f t="shared" si="11"/>
        <v>not filled</v>
      </c>
      <c r="AQ234" s="54">
        <f t="shared" si="8"/>
        <v>8</v>
      </c>
    </row>
    <row r="235">
      <c r="A235" s="77" t="s">
        <v>792</v>
      </c>
      <c r="B235" s="77" t="s">
        <v>793</v>
      </c>
      <c r="C235" s="78" t="s">
        <v>794</v>
      </c>
      <c r="D235" s="77" t="s">
        <v>725</v>
      </c>
      <c r="E235" s="79">
        <f t="shared" si="1"/>
        <v>33</v>
      </c>
      <c r="F235" s="79">
        <f t="shared" si="2"/>
        <v>15</v>
      </c>
      <c r="G235" s="55">
        <f t="shared" si="3"/>
        <v>45.45454545</v>
      </c>
      <c r="H235" s="77"/>
      <c r="I235" s="80" t="b">
        <v>1</v>
      </c>
      <c r="J235" s="80" t="b">
        <v>1</v>
      </c>
      <c r="K235" s="80" t="b">
        <v>0</v>
      </c>
      <c r="L235" s="80" t="b">
        <v>0</v>
      </c>
      <c r="M235" s="80" t="b">
        <v>0</v>
      </c>
      <c r="N235" s="80" t="b">
        <v>0</v>
      </c>
      <c r="O235" s="80" t="b">
        <v>0</v>
      </c>
      <c r="P235" s="80" t="b">
        <v>0</v>
      </c>
      <c r="Q235" s="80" t="b">
        <v>0</v>
      </c>
      <c r="R235" s="80" t="b">
        <v>0</v>
      </c>
      <c r="S235" s="80" t="b">
        <v>0</v>
      </c>
      <c r="T235" s="80" t="b">
        <v>1</v>
      </c>
      <c r="U235" s="80" t="b">
        <v>1</v>
      </c>
      <c r="V235" s="80" t="b">
        <v>1</v>
      </c>
      <c r="W235" s="80" t="b">
        <v>1</v>
      </c>
      <c r="X235" s="80" t="b">
        <v>1</v>
      </c>
      <c r="Y235" s="80" t="b">
        <v>0</v>
      </c>
      <c r="Z235" s="80" t="b">
        <v>0</v>
      </c>
      <c r="AA235" s="80" t="b">
        <v>0</v>
      </c>
      <c r="AB235" s="80" t="b">
        <v>0</v>
      </c>
      <c r="AC235" s="80" t="b">
        <v>0</v>
      </c>
      <c r="AD235" s="80" t="b">
        <v>0</v>
      </c>
      <c r="AE235" s="80" t="b">
        <v>0</v>
      </c>
      <c r="AF235" s="80" t="b">
        <v>1</v>
      </c>
      <c r="AG235" s="80" t="b">
        <v>0</v>
      </c>
      <c r="AH235" s="80" t="b">
        <v>0</v>
      </c>
      <c r="AI235" s="80" t="b">
        <v>1</v>
      </c>
      <c r="AJ235" s="80" t="b">
        <v>1</v>
      </c>
      <c r="AK235" s="80" t="b">
        <v>1</v>
      </c>
      <c r="AL235" s="80" t="b">
        <v>1</v>
      </c>
      <c r="AM235" s="80" t="b">
        <v>1</v>
      </c>
      <c r="AN235" s="80" t="b">
        <v>1</v>
      </c>
      <c r="AO235" s="80" t="b">
        <v>1</v>
      </c>
      <c r="AP235" s="77" t="str">
        <f t="shared" si="11"/>
        <v>not filled</v>
      </c>
      <c r="AQ235" s="54">
        <f t="shared" si="8"/>
        <v>7</v>
      </c>
    </row>
    <row r="236">
      <c r="A236" s="77" t="s">
        <v>795</v>
      </c>
      <c r="B236" s="77"/>
      <c r="C236" s="81" t="s">
        <v>796</v>
      </c>
      <c r="D236" s="77" t="s">
        <v>725</v>
      </c>
      <c r="E236" s="79">
        <f t="shared" si="1"/>
        <v>24</v>
      </c>
      <c r="F236" s="79">
        <f t="shared" si="2"/>
        <v>23</v>
      </c>
      <c r="G236" s="52">
        <f t="shared" si="3"/>
        <v>95.83333333</v>
      </c>
      <c r="H236" s="77"/>
      <c r="I236" s="80" t="b">
        <v>1</v>
      </c>
      <c r="J236" s="80" t="b">
        <v>1</v>
      </c>
      <c r="K236" s="80" t="b">
        <v>1</v>
      </c>
      <c r="L236" s="80" t="b">
        <v>1</v>
      </c>
      <c r="M236" s="80" t="b">
        <v>1</v>
      </c>
      <c r="N236" s="80" t="b">
        <v>1</v>
      </c>
      <c r="O236" s="80" t="b">
        <v>1</v>
      </c>
      <c r="P236" s="80" t="b">
        <v>1</v>
      </c>
      <c r="Q236" s="80" t="b">
        <v>1</v>
      </c>
      <c r="R236" s="80" t="b">
        <v>1</v>
      </c>
      <c r="S236" s="80" t="b">
        <v>1</v>
      </c>
      <c r="T236" s="80" t="b">
        <v>1</v>
      </c>
      <c r="U236" s="80" t="b">
        <v>1</v>
      </c>
      <c r="V236" s="80" t="b">
        <v>1</v>
      </c>
      <c r="W236" s="80" t="b">
        <v>1</v>
      </c>
      <c r="X236" s="80" t="b">
        <v>1</v>
      </c>
      <c r="Y236" s="80" t="b">
        <v>1</v>
      </c>
      <c r="Z236" s="80" t="b">
        <v>1</v>
      </c>
      <c r="AA236" s="80" t="b">
        <v>1</v>
      </c>
      <c r="AB236" s="80" t="b">
        <v>1</v>
      </c>
      <c r="AC236" s="80" t="b">
        <v>0</v>
      </c>
      <c r="AD236" s="80" t="b">
        <v>1</v>
      </c>
      <c r="AE236" s="80" t="b">
        <v>1</v>
      </c>
      <c r="AF236" s="80" t="b">
        <v>1</v>
      </c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  <c r="AQ236" s="49"/>
    </row>
    <row r="237">
      <c r="A237" s="77" t="s">
        <v>797</v>
      </c>
      <c r="B237" s="77" t="s">
        <v>798</v>
      </c>
      <c r="C237" s="78" t="s">
        <v>799</v>
      </c>
      <c r="D237" s="77" t="s">
        <v>725</v>
      </c>
      <c r="E237" s="79">
        <f t="shared" si="1"/>
        <v>33</v>
      </c>
      <c r="F237" s="79">
        <f t="shared" si="2"/>
        <v>11</v>
      </c>
      <c r="G237" s="55">
        <f t="shared" si="3"/>
        <v>33.33333333</v>
      </c>
      <c r="H237" s="77"/>
      <c r="I237" s="80" t="b">
        <v>0</v>
      </c>
      <c r="J237" s="80" t="b">
        <v>0</v>
      </c>
      <c r="K237" s="80" t="b">
        <v>0</v>
      </c>
      <c r="L237" s="80" t="b">
        <v>0</v>
      </c>
      <c r="M237" s="80" t="b">
        <v>0</v>
      </c>
      <c r="N237" s="80" t="b">
        <v>0</v>
      </c>
      <c r="O237" s="80" t="b">
        <v>0</v>
      </c>
      <c r="P237" s="80" t="b">
        <v>0</v>
      </c>
      <c r="Q237" s="80" t="b">
        <v>0</v>
      </c>
      <c r="R237" s="80" t="b">
        <v>0</v>
      </c>
      <c r="S237" s="80" t="b">
        <v>0</v>
      </c>
      <c r="T237" s="80" t="b">
        <v>0</v>
      </c>
      <c r="U237" s="80" t="b">
        <v>1</v>
      </c>
      <c r="V237" s="80" t="b">
        <v>0</v>
      </c>
      <c r="W237" s="80" t="b">
        <v>0</v>
      </c>
      <c r="X237" s="80" t="b">
        <v>0</v>
      </c>
      <c r="Y237" s="80" t="b">
        <v>0</v>
      </c>
      <c r="Z237" s="80" t="b">
        <v>0</v>
      </c>
      <c r="AA237" s="80" t="b">
        <v>0</v>
      </c>
      <c r="AB237" s="80" t="b">
        <v>0</v>
      </c>
      <c r="AC237" s="80" t="b">
        <v>0</v>
      </c>
      <c r="AD237" s="80" t="b">
        <v>0</v>
      </c>
      <c r="AE237" s="80" t="b">
        <v>0</v>
      </c>
      <c r="AF237" s="80" t="b">
        <v>1</v>
      </c>
      <c r="AG237" s="80" t="b">
        <v>1</v>
      </c>
      <c r="AH237" s="80" t="b">
        <v>1</v>
      </c>
      <c r="AI237" s="80" t="b">
        <v>1</v>
      </c>
      <c r="AJ237" s="80" t="b">
        <v>1</v>
      </c>
      <c r="AK237" s="80" t="b">
        <v>1</v>
      </c>
      <c r="AL237" s="80" t="b">
        <v>1</v>
      </c>
      <c r="AM237" s="80" t="b">
        <v>1</v>
      </c>
      <c r="AN237" s="80" t="b">
        <v>1</v>
      </c>
      <c r="AO237" s="80" t="b">
        <v>1</v>
      </c>
      <c r="AP237" s="77" t="str">
        <f t="shared" ref="AP237:AP239" si="12">IF(ISNUMBER(MATCH(C237,Sheet5!AA26:AA67,0)),"filled","not filled")</f>
        <v>not filled</v>
      </c>
      <c r="AQ237" s="54">
        <f t="shared" ref="AQ237:AQ248" si="13">COUNTIF(AG237:AO237,TRUE)</f>
        <v>9</v>
      </c>
    </row>
    <row r="238">
      <c r="A238" s="77" t="s">
        <v>800</v>
      </c>
      <c r="B238" s="77"/>
      <c r="C238" s="81" t="s">
        <v>801</v>
      </c>
      <c r="D238" s="77" t="s">
        <v>725</v>
      </c>
      <c r="E238" s="79">
        <f t="shared" si="1"/>
        <v>31</v>
      </c>
      <c r="F238" s="79">
        <f t="shared" si="2"/>
        <v>25</v>
      </c>
      <c r="G238" s="52">
        <f t="shared" si="3"/>
        <v>80.64516129</v>
      </c>
      <c r="H238" s="77"/>
      <c r="I238" s="80" t="b">
        <v>1</v>
      </c>
      <c r="J238" s="80" t="b">
        <v>1</v>
      </c>
      <c r="K238" s="80" t="b">
        <v>0</v>
      </c>
      <c r="L238" s="80" t="b">
        <v>1</v>
      </c>
      <c r="M238" s="80" t="b">
        <v>0</v>
      </c>
      <c r="N238" s="80" t="b">
        <v>0</v>
      </c>
      <c r="O238" s="80" t="b">
        <v>1</v>
      </c>
      <c r="P238" s="80" t="b">
        <v>1</v>
      </c>
      <c r="Q238" s="80" t="b">
        <v>0</v>
      </c>
      <c r="R238" s="80" t="b">
        <v>1</v>
      </c>
      <c r="S238" s="80" t="b">
        <v>1</v>
      </c>
      <c r="T238" s="80" t="b">
        <v>1</v>
      </c>
      <c r="U238" s="80" t="b">
        <v>1</v>
      </c>
      <c r="V238" s="80" t="b">
        <v>1</v>
      </c>
      <c r="W238" s="80" t="b">
        <v>1</v>
      </c>
      <c r="X238" s="80" t="b">
        <v>1</v>
      </c>
      <c r="Y238" s="80" t="b">
        <v>1</v>
      </c>
      <c r="Z238" s="80" t="b">
        <v>0</v>
      </c>
      <c r="AA238" s="80" t="b">
        <v>1</v>
      </c>
      <c r="AB238" s="80" t="b">
        <v>1</v>
      </c>
      <c r="AC238" s="80" t="b">
        <v>1</v>
      </c>
      <c r="AD238" s="80" t="b">
        <v>1</v>
      </c>
      <c r="AE238" s="80" t="b">
        <v>1</v>
      </c>
      <c r="AF238" s="80" t="b">
        <v>1</v>
      </c>
      <c r="AG238" s="80" t="b">
        <v>1</v>
      </c>
      <c r="AH238" s="80" t="b">
        <v>1</v>
      </c>
      <c r="AI238" s="80" t="b">
        <v>1</v>
      </c>
      <c r="AJ238" s="80" t="b">
        <v>1</v>
      </c>
      <c r="AK238" s="80" t="b">
        <v>1</v>
      </c>
      <c r="AL238" s="80" t="b">
        <v>0</v>
      </c>
      <c r="AM238" s="80" t="b">
        <v>1</v>
      </c>
      <c r="AN238" s="77"/>
      <c r="AO238" s="77"/>
      <c r="AP238" s="77" t="str">
        <f t="shared" si="12"/>
        <v>not filled</v>
      </c>
      <c r="AQ238" s="54">
        <f t="shared" si="13"/>
        <v>6</v>
      </c>
    </row>
    <row r="239">
      <c r="A239" s="77" t="s">
        <v>802</v>
      </c>
      <c r="B239" s="77" t="s">
        <v>803</v>
      </c>
      <c r="C239" s="78" t="s">
        <v>804</v>
      </c>
      <c r="D239" s="77" t="s">
        <v>725</v>
      </c>
      <c r="E239" s="79">
        <f t="shared" si="1"/>
        <v>33</v>
      </c>
      <c r="F239" s="79">
        <f t="shared" si="2"/>
        <v>30</v>
      </c>
      <c r="G239" s="52">
        <f t="shared" si="3"/>
        <v>90.90909091</v>
      </c>
      <c r="H239" s="77"/>
      <c r="I239" s="80" t="b">
        <v>1</v>
      </c>
      <c r="J239" s="80" t="b">
        <v>1</v>
      </c>
      <c r="K239" s="80" t="b">
        <v>1</v>
      </c>
      <c r="L239" s="80" t="b">
        <v>1</v>
      </c>
      <c r="M239" s="80" t="b">
        <v>1</v>
      </c>
      <c r="N239" s="80" t="b">
        <v>1</v>
      </c>
      <c r="O239" s="80" t="b">
        <v>1</v>
      </c>
      <c r="P239" s="80" t="b">
        <v>1</v>
      </c>
      <c r="Q239" s="80" t="b">
        <v>1</v>
      </c>
      <c r="R239" s="80" t="b">
        <v>0</v>
      </c>
      <c r="S239" s="80" t="b">
        <v>1</v>
      </c>
      <c r="T239" s="80" t="b">
        <v>1</v>
      </c>
      <c r="U239" s="80" t="b">
        <v>0</v>
      </c>
      <c r="V239" s="80" t="b">
        <v>1</v>
      </c>
      <c r="W239" s="80" t="b">
        <v>1</v>
      </c>
      <c r="X239" s="80" t="b">
        <v>1</v>
      </c>
      <c r="Y239" s="80" t="b">
        <v>1</v>
      </c>
      <c r="Z239" s="80" t="b">
        <v>1</v>
      </c>
      <c r="AA239" s="80" t="b">
        <v>1</v>
      </c>
      <c r="AB239" s="80" t="b">
        <v>0</v>
      </c>
      <c r="AC239" s="80" t="b">
        <v>1</v>
      </c>
      <c r="AD239" s="80" t="b">
        <v>1</v>
      </c>
      <c r="AE239" s="80" t="b">
        <v>1</v>
      </c>
      <c r="AF239" s="80" t="b">
        <v>1</v>
      </c>
      <c r="AG239" s="80" t="b">
        <v>1</v>
      </c>
      <c r="AH239" s="80" t="b">
        <v>1</v>
      </c>
      <c r="AI239" s="80" t="b">
        <v>1</v>
      </c>
      <c r="AJ239" s="80" t="b">
        <v>1</v>
      </c>
      <c r="AK239" s="80" t="b">
        <v>1</v>
      </c>
      <c r="AL239" s="80" t="b">
        <v>1</v>
      </c>
      <c r="AM239" s="80" t="b">
        <v>1</v>
      </c>
      <c r="AN239" s="80" t="b">
        <v>1</v>
      </c>
      <c r="AO239" s="80" t="b">
        <v>1</v>
      </c>
      <c r="AP239" s="77" t="str">
        <f t="shared" si="12"/>
        <v>not filled</v>
      </c>
      <c r="AQ239" s="54">
        <f t="shared" si="13"/>
        <v>9</v>
      </c>
    </row>
    <row r="240">
      <c r="A240" s="77" t="s">
        <v>805</v>
      </c>
      <c r="B240" s="77"/>
      <c r="C240" s="81" t="s">
        <v>806</v>
      </c>
      <c r="D240" s="77" t="s">
        <v>725</v>
      </c>
      <c r="E240" s="79">
        <f t="shared" si="1"/>
        <v>26</v>
      </c>
      <c r="F240" s="79">
        <f t="shared" si="2"/>
        <v>4</v>
      </c>
      <c r="G240" s="55">
        <f t="shared" si="3"/>
        <v>15.38461538</v>
      </c>
      <c r="H240" s="77"/>
      <c r="I240" s="80" t="b">
        <v>0</v>
      </c>
      <c r="J240" s="80" t="b">
        <v>0</v>
      </c>
      <c r="K240" s="80" t="b">
        <v>0</v>
      </c>
      <c r="L240" s="80" t="b">
        <v>0</v>
      </c>
      <c r="M240" s="80" t="b">
        <v>0</v>
      </c>
      <c r="N240" s="80" t="b">
        <v>0</v>
      </c>
      <c r="O240" s="80" t="b">
        <v>0</v>
      </c>
      <c r="P240" s="80" t="b">
        <v>1</v>
      </c>
      <c r="Q240" s="80" t="b">
        <v>0</v>
      </c>
      <c r="R240" s="80" t="b">
        <v>0</v>
      </c>
      <c r="S240" s="80" t="b">
        <v>0</v>
      </c>
      <c r="T240" s="80" t="b">
        <v>0</v>
      </c>
      <c r="U240" s="80" t="b">
        <v>0</v>
      </c>
      <c r="V240" s="80" t="b">
        <v>0</v>
      </c>
      <c r="W240" s="80" t="b">
        <v>0</v>
      </c>
      <c r="X240" s="80" t="b">
        <v>0</v>
      </c>
      <c r="Y240" s="80" t="b">
        <v>1</v>
      </c>
      <c r="Z240" s="80" t="b">
        <v>0</v>
      </c>
      <c r="AA240" s="80" t="b">
        <v>0</v>
      </c>
      <c r="AB240" s="80" t="b">
        <v>0</v>
      </c>
      <c r="AC240" s="80" t="b">
        <v>0</v>
      </c>
      <c r="AD240" s="80" t="b">
        <v>0</v>
      </c>
      <c r="AE240" s="80" t="b">
        <v>0</v>
      </c>
      <c r="AF240" s="80" t="b">
        <v>0</v>
      </c>
      <c r="AG240" s="80" t="b">
        <v>1</v>
      </c>
      <c r="AH240" s="80" t="b">
        <v>1</v>
      </c>
      <c r="AI240" s="77"/>
      <c r="AJ240" s="77"/>
      <c r="AK240" s="77"/>
      <c r="AL240" s="77"/>
      <c r="AM240" s="77"/>
      <c r="AN240" s="77"/>
      <c r="AO240" s="77"/>
      <c r="AP240" s="77"/>
      <c r="AQ240" s="54">
        <f t="shared" si="13"/>
        <v>2</v>
      </c>
    </row>
    <row r="241">
      <c r="A241" s="77" t="s">
        <v>807</v>
      </c>
      <c r="B241" s="77" t="s">
        <v>808</v>
      </c>
      <c r="C241" s="78" t="s">
        <v>809</v>
      </c>
      <c r="D241" s="77" t="s">
        <v>725</v>
      </c>
      <c r="E241" s="79">
        <f t="shared" si="1"/>
        <v>33</v>
      </c>
      <c r="F241" s="79">
        <f t="shared" si="2"/>
        <v>31</v>
      </c>
      <c r="G241" s="52">
        <f t="shared" si="3"/>
        <v>93.93939394</v>
      </c>
      <c r="H241" s="77"/>
      <c r="I241" s="80" t="b">
        <v>1</v>
      </c>
      <c r="J241" s="80" t="b">
        <v>1</v>
      </c>
      <c r="K241" s="80" t="b">
        <v>1</v>
      </c>
      <c r="L241" s="80" t="b">
        <v>1</v>
      </c>
      <c r="M241" s="80" t="b">
        <v>1</v>
      </c>
      <c r="N241" s="80" t="b">
        <v>0</v>
      </c>
      <c r="O241" s="80" t="b">
        <v>1</v>
      </c>
      <c r="P241" s="80" t="b">
        <v>1</v>
      </c>
      <c r="Q241" s="80" t="b">
        <v>0</v>
      </c>
      <c r="R241" s="80" t="b">
        <v>1</v>
      </c>
      <c r="S241" s="80" t="b">
        <v>1</v>
      </c>
      <c r="T241" s="80" t="b">
        <v>1</v>
      </c>
      <c r="U241" s="80" t="b">
        <v>1</v>
      </c>
      <c r="V241" s="80" t="b">
        <v>1</v>
      </c>
      <c r="W241" s="80" t="b">
        <v>1</v>
      </c>
      <c r="X241" s="80" t="b">
        <v>1</v>
      </c>
      <c r="Y241" s="80" t="b">
        <v>1</v>
      </c>
      <c r="Z241" s="80" t="b">
        <v>1</v>
      </c>
      <c r="AA241" s="80" t="b">
        <v>1</v>
      </c>
      <c r="AB241" s="80" t="b">
        <v>1</v>
      </c>
      <c r="AC241" s="80" t="b">
        <v>1</v>
      </c>
      <c r="AD241" s="80" t="b">
        <v>1</v>
      </c>
      <c r="AE241" s="80" t="b">
        <v>1</v>
      </c>
      <c r="AF241" s="80" t="b">
        <v>1</v>
      </c>
      <c r="AG241" s="80" t="b">
        <v>1</v>
      </c>
      <c r="AH241" s="80" t="b">
        <v>1</v>
      </c>
      <c r="AI241" s="80" t="b">
        <v>1</v>
      </c>
      <c r="AJ241" s="80" t="b">
        <v>1</v>
      </c>
      <c r="AK241" s="80" t="b">
        <v>1</v>
      </c>
      <c r="AL241" s="80" t="b">
        <v>1</v>
      </c>
      <c r="AM241" s="80" t="b">
        <v>1</v>
      </c>
      <c r="AN241" s="80" t="b">
        <v>1</v>
      </c>
      <c r="AO241" s="80" t="b">
        <v>1</v>
      </c>
      <c r="AP241" s="77" t="str">
        <f t="shared" ref="AP241:AP247" si="14">IF(ISNUMBER(MATCH(C241,Sheet5!AA30:AA71,0)),"filled","not filled")</f>
        <v>not filled</v>
      </c>
      <c r="AQ241" s="54">
        <f t="shared" si="13"/>
        <v>9</v>
      </c>
    </row>
    <row r="242">
      <c r="A242" s="77" t="s">
        <v>810</v>
      </c>
      <c r="B242" s="77" t="s">
        <v>811</v>
      </c>
      <c r="C242" s="78" t="s">
        <v>812</v>
      </c>
      <c r="D242" s="77" t="s">
        <v>725</v>
      </c>
      <c r="E242" s="79">
        <f t="shared" si="1"/>
        <v>33</v>
      </c>
      <c r="F242" s="79">
        <f t="shared" si="2"/>
        <v>28</v>
      </c>
      <c r="G242" s="52">
        <f t="shared" si="3"/>
        <v>84.84848485</v>
      </c>
      <c r="H242" s="77"/>
      <c r="I242" s="80" t="b">
        <v>1</v>
      </c>
      <c r="J242" s="80" t="b">
        <v>1</v>
      </c>
      <c r="K242" s="80" t="b">
        <v>1</v>
      </c>
      <c r="L242" s="80" t="b">
        <v>1</v>
      </c>
      <c r="M242" s="80" t="b">
        <v>1</v>
      </c>
      <c r="N242" s="80" t="b">
        <v>1</v>
      </c>
      <c r="O242" s="80" t="b">
        <v>1</v>
      </c>
      <c r="P242" s="80" t="b">
        <v>1</v>
      </c>
      <c r="Q242" s="80" t="b">
        <v>1</v>
      </c>
      <c r="R242" s="80" t="b">
        <v>1</v>
      </c>
      <c r="S242" s="80" t="b">
        <v>1</v>
      </c>
      <c r="T242" s="80" t="b">
        <v>1</v>
      </c>
      <c r="U242" s="80" t="b">
        <v>0</v>
      </c>
      <c r="V242" s="80" t="b">
        <v>1</v>
      </c>
      <c r="W242" s="80" t="b">
        <v>1</v>
      </c>
      <c r="X242" s="80" t="b">
        <v>0</v>
      </c>
      <c r="Y242" s="80" t="b">
        <v>1</v>
      </c>
      <c r="Z242" s="80" t="b">
        <v>1</v>
      </c>
      <c r="AA242" s="80" t="b">
        <v>1</v>
      </c>
      <c r="AB242" s="80" t="b">
        <v>0</v>
      </c>
      <c r="AC242" s="80" t="b">
        <v>1</v>
      </c>
      <c r="AD242" s="80" t="b">
        <v>1</v>
      </c>
      <c r="AE242" s="80" t="b">
        <v>1</v>
      </c>
      <c r="AF242" s="80" t="b">
        <v>1</v>
      </c>
      <c r="AG242" s="80" t="b">
        <v>1</v>
      </c>
      <c r="AH242" s="80" t="b">
        <v>0</v>
      </c>
      <c r="AI242" s="80" t="b">
        <v>1</v>
      </c>
      <c r="AJ242" s="80" t="b">
        <v>1</v>
      </c>
      <c r="AK242" s="80" t="b">
        <v>0</v>
      </c>
      <c r="AL242" s="80" t="b">
        <v>1</v>
      </c>
      <c r="AM242" s="80" t="b">
        <v>1</v>
      </c>
      <c r="AN242" s="80" t="b">
        <v>1</v>
      </c>
      <c r="AO242" s="80" t="b">
        <v>1</v>
      </c>
      <c r="AP242" s="77" t="str">
        <f t="shared" si="14"/>
        <v>not filled</v>
      </c>
      <c r="AQ242" s="54">
        <f t="shared" si="13"/>
        <v>7</v>
      </c>
    </row>
    <row r="243">
      <c r="A243" s="77" t="s">
        <v>813</v>
      </c>
      <c r="B243" s="77" t="s">
        <v>814</v>
      </c>
      <c r="C243" s="78" t="s">
        <v>815</v>
      </c>
      <c r="D243" s="77" t="s">
        <v>725</v>
      </c>
      <c r="E243" s="79">
        <f t="shared" si="1"/>
        <v>33</v>
      </c>
      <c r="F243" s="79">
        <f t="shared" si="2"/>
        <v>22</v>
      </c>
      <c r="G243" s="55">
        <f t="shared" si="3"/>
        <v>66.66666667</v>
      </c>
      <c r="H243" s="77"/>
      <c r="I243" s="80" t="b">
        <v>0</v>
      </c>
      <c r="J243" s="80" t="b">
        <v>0</v>
      </c>
      <c r="K243" s="80" t="b">
        <v>0</v>
      </c>
      <c r="L243" s="80" t="b">
        <v>1</v>
      </c>
      <c r="M243" s="80" t="b">
        <v>1</v>
      </c>
      <c r="N243" s="80" t="b">
        <v>1</v>
      </c>
      <c r="O243" s="80" t="b">
        <v>1</v>
      </c>
      <c r="P243" s="80" t="b">
        <v>1</v>
      </c>
      <c r="Q243" s="80" t="b">
        <v>0</v>
      </c>
      <c r="R243" s="80" t="b">
        <v>1</v>
      </c>
      <c r="S243" s="80" t="b">
        <v>1</v>
      </c>
      <c r="T243" s="80" t="b">
        <v>1</v>
      </c>
      <c r="U243" s="80" t="b">
        <v>1</v>
      </c>
      <c r="V243" s="80" t="b">
        <v>1</v>
      </c>
      <c r="W243" s="80" t="b">
        <v>1</v>
      </c>
      <c r="X243" s="80" t="b">
        <v>1</v>
      </c>
      <c r="Y243" s="80" t="b">
        <v>1</v>
      </c>
      <c r="Z243" s="80" t="b">
        <v>0</v>
      </c>
      <c r="AA243" s="80" t="b">
        <v>0</v>
      </c>
      <c r="AB243" s="80" t="b">
        <v>0</v>
      </c>
      <c r="AC243" s="80" t="b">
        <v>0</v>
      </c>
      <c r="AD243" s="80" t="b">
        <v>1</v>
      </c>
      <c r="AE243" s="80" t="b">
        <v>1</v>
      </c>
      <c r="AF243" s="80" t="b">
        <v>1</v>
      </c>
      <c r="AG243" s="80" t="b">
        <v>1</v>
      </c>
      <c r="AH243" s="80" t="b">
        <v>0</v>
      </c>
      <c r="AI243" s="80" t="b">
        <v>0</v>
      </c>
      <c r="AJ243" s="80" t="b">
        <v>0</v>
      </c>
      <c r="AK243" s="80" t="b">
        <v>1</v>
      </c>
      <c r="AL243" s="80" t="b">
        <v>1</v>
      </c>
      <c r="AM243" s="80" t="b">
        <v>1</v>
      </c>
      <c r="AN243" s="80" t="b">
        <v>1</v>
      </c>
      <c r="AO243" s="80" t="b">
        <v>1</v>
      </c>
      <c r="AP243" s="77" t="str">
        <f t="shared" si="14"/>
        <v>not filled</v>
      </c>
      <c r="AQ243" s="54">
        <f t="shared" si="13"/>
        <v>6</v>
      </c>
    </row>
    <row r="244">
      <c r="A244" s="77" t="s">
        <v>816</v>
      </c>
      <c r="B244" s="77" t="s">
        <v>817</v>
      </c>
      <c r="C244" s="78" t="s">
        <v>818</v>
      </c>
      <c r="D244" s="77" t="s">
        <v>725</v>
      </c>
      <c r="E244" s="79">
        <f t="shared" si="1"/>
        <v>33</v>
      </c>
      <c r="F244" s="79">
        <f t="shared" si="2"/>
        <v>29</v>
      </c>
      <c r="G244" s="52">
        <f t="shared" si="3"/>
        <v>87.87878788</v>
      </c>
      <c r="H244" s="77"/>
      <c r="I244" s="80" t="b">
        <v>1</v>
      </c>
      <c r="J244" s="80" t="b">
        <v>1</v>
      </c>
      <c r="K244" s="80" t="b">
        <v>1</v>
      </c>
      <c r="L244" s="80" t="b">
        <v>1</v>
      </c>
      <c r="M244" s="80" t="b">
        <v>1</v>
      </c>
      <c r="N244" s="80" t="b">
        <v>1</v>
      </c>
      <c r="O244" s="80" t="b">
        <v>1</v>
      </c>
      <c r="P244" s="80" t="b">
        <v>1</v>
      </c>
      <c r="Q244" s="80" t="b">
        <v>1</v>
      </c>
      <c r="R244" s="80" t="b">
        <v>1</v>
      </c>
      <c r="S244" s="80" t="b">
        <v>1</v>
      </c>
      <c r="T244" s="80" t="b">
        <v>1</v>
      </c>
      <c r="U244" s="80" t="b">
        <v>1</v>
      </c>
      <c r="V244" s="80" t="b">
        <v>1</v>
      </c>
      <c r="W244" s="80" t="b">
        <v>1</v>
      </c>
      <c r="X244" s="80" t="b">
        <v>1</v>
      </c>
      <c r="Y244" s="80" t="b">
        <v>1</v>
      </c>
      <c r="Z244" s="80" t="b">
        <v>1</v>
      </c>
      <c r="AA244" s="80" t="b">
        <v>0</v>
      </c>
      <c r="AB244" s="80" t="b">
        <v>0</v>
      </c>
      <c r="AC244" s="80" t="b">
        <v>0</v>
      </c>
      <c r="AD244" s="80" t="b">
        <v>0</v>
      </c>
      <c r="AE244" s="80" t="b">
        <v>1</v>
      </c>
      <c r="AF244" s="80" t="b">
        <v>1</v>
      </c>
      <c r="AG244" s="80" t="b">
        <v>1</v>
      </c>
      <c r="AH244" s="80" t="b">
        <v>1</v>
      </c>
      <c r="AI244" s="80" t="b">
        <v>1</v>
      </c>
      <c r="AJ244" s="80" t="b">
        <v>1</v>
      </c>
      <c r="AK244" s="80" t="b">
        <v>1</v>
      </c>
      <c r="AL244" s="80" t="b">
        <v>1</v>
      </c>
      <c r="AM244" s="80" t="b">
        <v>1</v>
      </c>
      <c r="AN244" s="80" t="b">
        <v>1</v>
      </c>
      <c r="AO244" s="80" t="b">
        <v>1</v>
      </c>
      <c r="AP244" s="77" t="str">
        <f t="shared" si="14"/>
        <v>not filled</v>
      </c>
      <c r="AQ244" s="54">
        <f t="shared" si="13"/>
        <v>9</v>
      </c>
    </row>
    <row r="245">
      <c r="A245" s="77" t="s">
        <v>819</v>
      </c>
      <c r="B245" s="77"/>
      <c r="C245" s="78" t="s">
        <v>820</v>
      </c>
      <c r="D245" s="77" t="s">
        <v>725</v>
      </c>
      <c r="E245" s="79">
        <f t="shared" si="1"/>
        <v>33</v>
      </c>
      <c r="F245" s="79">
        <f t="shared" si="2"/>
        <v>7</v>
      </c>
      <c r="G245" s="55">
        <f t="shared" si="3"/>
        <v>21.21212121</v>
      </c>
      <c r="H245" s="77"/>
      <c r="I245" s="80" t="b">
        <v>0</v>
      </c>
      <c r="J245" s="80" t="b">
        <v>0</v>
      </c>
      <c r="K245" s="80" t="b">
        <v>0</v>
      </c>
      <c r="L245" s="80" t="b">
        <v>0</v>
      </c>
      <c r="M245" s="80" t="b">
        <v>0</v>
      </c>
      <c r="N245" s="80" t="b">
        <v>0</v>
      </c>
      <c r="O245" s="80" t="b">
        <v>0</v>
      </c>
      <c r="P245" s="80" t="b">
        <v>0</v>
      </c>
      <c r="Q245" s="80" t="b">
        <v>1</v>
      </c>
      <c r="R245" s="80" t="b">
        <v>0</v>
      </c>
      <c r="S245" s="80" t="b">
        <v>0</v>
      </c>
      <c r="T245" s="80" t="b">
        <v>0</v>
      </c>
      <c r="U245" s="80" t="b">
        <v>0</v>
      </c>
      <c r="V245" s="80" t="b">
        <v>0</v>
      </c>
      <c r="W245" s="80" t="b">
        <v>0</v>
      </c>
      <c r="X245" s="80" t="b">
        <v>0</v>
      </c>
      <c r="Y245" s="80" t="b">
        <v>0</v>
      </c>
      <c r="Z245" s="80" t="b">
        <v>1</v>
      </c>
      <c r="AA245" s="80" t="b">
        <v>0</v>
      </c>
      <c r="AB245" s="80" t="b">
        <v>0</v>
      </c>
      <c r="AC245" s="80" t="b">
        <v>0</v>
      </c>
      <c r="AD245" s="80" t="b">
        <v>1</v>
      </c>
      <c r="AE245" s="80" t="b">
        <v>0</v>
      </c>
      <c r="AF245" s="80" t="b">
        <v>0</v>
      </c>
      <c r="AG245" s="80" t="b">
        <v>0</v>
      </c>
      <c r="AH245" s="80" t="b">
        <v>0</v>
      </c>
      <c r="AI245" s="80" t="b">
        <v>1</v>
      </c>
      <c r="AJ245" s="80" t="b">
        <v>1</v>
      </c>
      <c r="AK245" s="80" t="b">
        <v>0</v>
      </c>
      <c r="AL245" s="80" t="b">
        <v>0</v>
      </c>
      <c r="AM245" s="80" t="b">
        <v>1</v>
      </c>
      <c r="AN245" s="80" t="b">
        <v>1</v>
      </c>
      <c r="AO245" s="80" t="b">
        <v>0</v>
      </c>
      <c r="AP245" s="77" t="str">
        <f t="shared" si="14"/>
        <v>not filled</v>
      </c>
      <c r="AQ245" s="54">
        <f t="shared" si="13"/>
        <v>4</v>
      </c>
    </row>
    <row r="246">
      <c r="A246" s="77" t="s">
        <v>821</v>
      </c>
      <c r="B246" s="77" t="s">
        <v>822</v>
      </c>
      <c r="C246" s="78" t="s">
        <v>823</v>
      </c>
      <c r="D246" s="77" t="s">
        <v>725</v>
      </c>
      <c r="E246" s="79">
        <f t="shared" si="1"/>
        <v>33</v>
      </c>
      <c r="F246" s="79">
        <f t="shared" si="2"/>
        <v>16</v>
      </c>
      <c r="G246" s="55">
        <f t="shared" si="3"/>
        <v>48.48484848</v>
      </c>
      <c r="H246" s="77"/>
      <c r="I246" s="80" t="b">
        <v>0</v>
      </c>
      <c r="J246" s="80" t="b">
        <v>0</v>
      </c>
      <c r="K246" s="80" t="b">
        <v>0</v>
      </c>
      <c r="L246" s="80" t="b">
        <v>0</v>
      </c>
      <c r="M246" s="80" t="b">
        <v>0</v>
      </c>
      <c r="N246" s="80" t="b">
        <v>0</v>
      </c>
      <c r="O246" s="80" t="b">
        <v>0</v>
      </c>
      <c r="P246" s="80" t="b">
        <v>0</v>
      </c>
      <c r="Q246" s="80" t="b">
        <v>0</v>
      </c>
      <c r="R246" s="80" t="b">
        <v>0</v>
      </c>
      <c r="S246" s="80" t="b">
        <v>1</v>
      </c>
      <c r="T246" s="80" t="b">
        <v>1</v>
      </c>
      <c r="U246" s="80" t="b">
        <v>1</v>
      </c>
      <c r="V246" s="80" t="b">
        <v>1</v>
      </c>
      <c r="W246" s="80" t="b">
        <v>1</v>
      </c>
      <c r="X246" s="80" t="b">
        <v>1</v>
      </c>
      <c r="Y246" s="80" t="b">
        <v>0</v>
      </c>
      <c r="Z246" s="80" t="b">
        <v>0</v>
      </c>
      <c r="AA246" s="80" t="b">
        <v>0</v>
      </c>
      <c r="AB246" s="80" t="b">
        <v>0</v>
      </c>
      <c r="AC246" s="80" t="b">
        <v>0</v>
      </c>
      <c r="AD246" s="80" t="b">
        <v>1</v>
      </c>
      <c r="AE246" s="80" t="b">
        <v>0</v>
      </c>
      <c r="AF246" s="80" t="b">
        <v>1</v>
      </c>
      <c r="AG246" s="80" t="b">
        <v>1</v>
      </c>
      <c r="AH246" s="80" t="b">
        <v>1</v>
      </c>
      <c r="AI246" s="80" t="b">
        <v>1</v>
      </c>
      <c r="AJ246" s="80" t="b">
        <v>1</v>
      </c>
      <c r="AK246" s="80" t="b">
        <v>0</v>
      </c>
      <c r="AL246" s="80" t="b">
        <v>1</v>
      </c>
      <c r="AM246" s="80" t="b">
        <v>1</v>
      </c>
      <c r="AN246" s="80" t="b">
        <v>1</v>
      </c>
      <c r="AO246" s="80" t="b">
        <v>1</v>
      </c>
      <c r="AP246" s="77" t="str">
        <f t="shared" si="14"/>
        <v>not filled</v>
      </c>
      <c r="AQ246" s="54">
        <f t="shared" si="13"/>
        <v>8</v>
      </c>
    </row>
    <row r="247">
      <c r="A247" s="77" t="s">
        <v>824</v>
      </c>
      <c r="B247" s="77"/>
      <c r="C247" s="78" t="s">
        <v>825</v>
      </c>
      <c r="D247" s="77" t="s">
        <v>725</v>
      </c>
      <c r="E247" s="79">
        <f t="shared" si="1"/>
        <v>33</v>
      </c>
      <c r="F247" s="79">
        <f t="shared" si="2"/>
        <v>1</v>
      </c>
      <c r="G247" s="55">
        <f t="shared" si="3"/>
        <v>3.03030303</v>
      </c>
      <c r="H247" s="77"/>
      <c r="I247" s="80" t="b">
        <v>0</v>
      </c>
      <c r="J247" s="80" t="b">
        <v>0</v>
      </c>
      <c r="K247" s="80" t="b">
        <v>0</v>
      </c>
      <c r="L247" s="80" t="b">
        <v>0</v>
      </c>
      <c r="M247" s="80" t="b">
        <v>0</v>
      </c>
      <c r="N247" s="80" t="b">
        <v>0</v>
      </c>
      <c r="O247" s="80" t="b">
        <v>0</v>
      </c>
      <c r="P247" s="80" t="b">
        <v>0</v>
      </c>
      <c r="Q247" s="80" t="b">
        <v>0</v>
      </c>
      <c r="R247" s="80" t="b">
        <v>0</v>
      </c>
      <c r="S247" s="80" t="b">
        <v>0</v>
      </c>
      <c r="T247" s="80" t="b">
        <v>0</v>
      </c>
      <c r="U247" s="80" t="b">
        <v>0</v>
      </c>
      <c r="V247" s="80" t="b">
        <v>0</v>
      </c>
      <c r="W247" s="80" t="b">
        <v>0</v>
      </c>
      <c r="X247" s="80" t="b">
        <v>0</v>
      </c>
      <c r="Y247" s="80" t="b">
        <v>0</v>
      </c>
      <c r="Z247" s="80" t="b">
        <v>0</v>
      </c>
      <c r="AA247" s="80" t="b">
        <v>0</v>
      </c>
      <c r="AB247" s="80" t="b">
        <v>0</v>
      </c>
      <c r="AC247" s="80" t="b">
        <v>0</v>
      </c>
      <c r="AD247" s="80" t="b">
        <v>0</v>
      </c>
      <c r="AE247" s="80" t="b">
        <v>0</v>
      </c>
      <c r="AF247" s="80" t="b">
        <v>0</v>
      </c>
      <c r="AG247" s="80" t="b">
        <v>0</v>
      </c>
      <c r="AH247" s="80" t="b">
        <v>0</v>
      </c>
      <c r="AI247" s="80" t="b">
        <v>0</v>
      </c>
      <c r="AJ247" s="80" t="b">
        <v>0</v>
      </c>
      <c r="AK247" s="80" t="b">
        <v>0</v>
      </c>
      <c r="AL247" s="80" t="b">
        <v>0</v>
      </c>
      <c r="AM247" s="80" t="b">
        <v>0</v>
      </c>
      <c r="AN247" s="80" t="b">
        <v>0</v>
      </c>
      <c r="AO247" s="80" t="b">
        <v>1</v>
      </c>
      <c r="AP247" s="77" t="str">
        <f t="shared" si="14"/>
        <v>not filled</v>
      </c>
      <c r="AQ247" s="54">
        <f t="shared" si="13"/>
        <v>1</v>
      </c>
    </row>
    <row r="248">
      <c r="A248" s="77" t="s">
        <v>826</v>
      </c>
      <c r="B248" s="77"/>
      <c r="C248" s="78">
        <v>8.002063041E9</v>
      </c>
      <c r="D248" s="82" t="s">
        <v>725</v>
      </c>
      <c r="E248" s="79">
        <f t="shared" si="1"/>
        <v>33</v>
      </c>
      <c r="F248" s="79">
        <f t="shared" si="2"/>
        <v>9</v>
      </c>
      <c r="G248" s="55">
        <f t="shared" si="3"/>
        <v>27.27272727</v>
      </c>
      <c r="H248" s="77"/>
      <c r="I248" s="80" t="b">
        <v>1</v>
      </c>
      <c r="J248" s="80" t="b">
        <v>0</v>
      </c>
      <c r="K248" s="80" t="b">
        <v>0</v>
      </c>
      <c r="L248" s="80" t="b">
        <v>0</v>
      </c>
      <c r="M248" s="80" t="b">
        <v>0</v>
      </c>
      <c r="N248" s="80" t="b">
        <v>0</v>
      </c>
      <c r="O248" s="80" t="b">
        <v>1</v>
      </c>
      <c r="P248" s="80" t="b">
        <v>1</v>
      </c>
      <c r="Q248" s="80" t="b">
        <v>0</v>
      </c>
      <c r="R248" s="80" t="b">
        <v>1</v>
      </c>
      <c r="S248" s="80" t="b">
        <v>1</v>
      </c>
      <c r="T248" s="80" t="b">
        <v>1</v>
      </c>
      <c r="U248" s="80" t="b">
        <v>0</v>
      </c>
      <c r="V248" s="80" t="b">
        <v>1</v>
      </c>
      <c r="W248" s="80" t="b">
        <v>1</v>
      </c>
      <c r="X248" s="80" t="b">
        <v>1</v>
      </c>
      <c r="Y248" s="80" t="b">
        <v>0</v>
      </c>
      <c r="Z248" s="80" t="b">
        <v>0</v>
      </c>
      <c r="AA248" s="80" t="b">
        <v>0</v>
      </c>
      <c r="AB248" s="80" t="b">
        <v>0</v>
      </c>
      <c r="AC248" s="80" t="b">
        <v>0</v>
      </c>
      <c r="AD248" s="80" t="b">
        <v>0</v>
      </c>
      <c r="AE248" s="80" t="b">
        <v>0</v>
      </c>
      <c r="AF248" s="80" t="b">
        <v>0</v>
      </c>
      <c r="AG248" s="80" t="b">
        <v>0</v>
      </c>
      <c r="AH248" s="80" t="b">
        <v>0</v>
      </c>
      <c r="AI248" s="80" t="b">
        <v>0</v>
      </c>
      <c r="AJ248" s="80" t="b">
        <v>0</v>
      </c>
      <c r="AK248" s="80" t="b">
        <v>0</v>
      </c>
      <c r="AL248" s="80" t="b">
        <v>0</v>
      </c>
      <c r="AM248" s="80" t="b">
        <v>0</v>
      </c>
      <c r="AN248" s="80" t="b">
        <v>0</v>
      </c>
      <c r="AO248" s="80" t="b">
        <v>0</v>
      </c>
      <c r="AP248" s="77"/>
      <c r="AQ248" s="54">
        <f t="shared" si="13"/>
        <v>0</v>
      </c>
    </row>
    <row r="249">
      <c r="A249" s="83"/>
      <c r="B249" s="83"/>
      <c r="C249" s="84"/>
      <c r="D249" s="83"/>
      <c r="E249" s="83"/>
      <c r="F249" s="83"/>
      <c r="G249" s="85"/>
      <c r="H249" s="83"/>
      <c r="I249" s="86">
        <f t="shared" ref="I249:P249" si="15">COUNTIF(I206:I248,TRUE)*100/COUNTA(I206:I248)</f>
        <v>55.81395349</v>
      </c>
      <c r="J249" s="86">
        <f t="shared" si="15"/>
        <v>53.48837209</v>
      </c>
      <c r="K249" s="86">
        <f t="shared" si="15"/>
        <v>48.8372093</v>
      </c>
      <c r="L249" s="86">
        <f t="shared" si="15"/>
        <v>51.1627907</v>
      </c>
      <c r="M249" s="86">
        <f t="shared" si="15"/>
        <v>48.8372093</v>
      </c>
      <c r="N249" s="86">
        <f t="shared" si="15"/>
        <v>51.1627907</v>
      </c>
      <c r="O249" s="86">
        <f t="shared" si="15"/>
        <v>51.1627907</v>
      </c>
      <c r="P249" s="86">
        <f t="shared" si="15"/>
        <v>58.13953488</v>
      </c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  <c r="AN249" s="83"/>
      <c r="AO249" s="83"/>
      <c r="AP249" s="83"/>
      <c r="AQ249" s="49"/>
    </row>
    <row r="250">
      <c r="A250" s="83" t="s">
        <v>827</v>
      </c>
      <c r="B250" s="83" t="s">
        <v>828</v>
      </c>
      <c r="C250" s="87" t="s">
        <v>829</v>
      </c>
      <c r="D250" s="83" t="s">
        <v>830</v>
      </c>
      <c r="E250" s="39">
        <f t="shared" ref="E250:E263" si="16">COUNTIF($H250:AQ250,TRUE) + COUNTIF($H250:AQ250,FALSE)</f>
        <v>33</v>
      </c>
      <c r="F250" s="39">
        <f t="shared" ref="F250:F263" si="17">COUNTIF($H250:AQ250,TRUE)</f>
        <v>32</v>
      </c>
      <c r="G250" s="52">
        <f t="shared" ref="G250:G263" si="18">($F250/$E250)*100</f>
        <v>96.96969697</v>
      </c>
      <c r="H250" s="83"/>
      <c r="I250" s="88" t="b">
        <v>1</v>
      </c>
      <c r="J250" s="88" t="b">
        <v>1</v>
      </c>
      <c r="K250" s="88" t="b">
        <v>1</v>
      </c>
      <c r="L250" s="88" t="b">
        <v>1</v>
      </c>
      <c r="M250" s="88" t="b">
        <v>1</v>
      </c>
      <c r="N250" s="88" t="b">
        <v>1</v>
      </c>
      <c r="O250" s="88" t="b">
        <v>0</v>
      </c>
      <c r="P250" s="88" t="b">
        <v>1</v>
      </c>
      <c r="Q250" s="88" t="b">
        <v>1</v>
      </c>
      <c r="R250" s="88" t="b">
        <v>1</v>
      </c>
      <c r="S250" s="88" t="b">
        <v>1</v>
      </c>
      <c r="T250" s="88" t="b">
        <v>1</v>
      </c>
      <c r="U250" s="88" t="b">
        <v>1</v>
      </c>
      <c r="V250" s="88" t="b">
        <v>1</v>
      </c>
      <c r="W250" s="88" t="b">
        <v>1</v>
      </c>
      <c r="X250" s="88" t="b">
        <v>1</v>
      </c>
      <c r="Y250" s="88" t="b">
        <v>1</v>
      </c>
      <c r="Z250" s="88" t="b">
        <v>1</v>
      </c>
      <c r="AA250" s="88" t="b">
        <v>1</v>
      </c>
      <c r="AB250" s="88" t="b">
        <v>1</v>
      </c>
      <c r="AC250" s="88" t="b">
        <v>1</v>
      </c>
      <c r="AD250" s="88" t="b">
        <v>1</v>
      </c>
      <c r="AE250" s="88" t="b">
        <v>1</v>
      </c>
      <c r="AF250" s="88" t="b">
        <v>1</v>
      </c>
      <c r="AG250" s="88" t="b">
        <v>1</v>
      </c>
      <c r="AH250" s="88" t="b">
        <v>1</v>
      </c>
      <c r="AI250" s="88" t="b">
        <v>1</v>
      </c>
      <c r="AJ250" s="88" t="b">
        <v>1</v>
      </c>
      <c r="AK250" s="88" t="b">
        <v>1</v>
      </c>
      <c r="AL250" s="88" t="b">
        <v>1</v>
      </c>
      <c r="AM250" s="88" t="b">
        <v>1</v>
      </c>
      <c r="AN250" s="88" t="b">
        <v>1</v>
      </c>
      <c r="AO250" s="88" t="b">
        <v>1</v>
      </c>
      <c r="AP250" s="83"/>
      <c r="AQ250" s="54">
        <f t="shared" ref="AQ250:AQ264" si="19">COUNTIF(AG250:AO250,TRUE)</f>
        <v>9</v>
      </c>
    </row>
    <row r="251">
      <c r="A251" s="83" t="s">
        <v>831</v>
      </c>
      <c r="B251" s="83" t="s">
        <v>832</v>
      </c>
      <c r="C251" s="87" t="s">
        <v>833</v>
      </c>
      <c r="D251" s="83" t="s">
        <v>830</v>
      </c>
      <c r="E251" s="39">
        <f t="shared" si="16"/>
        <v>33</v>
      </c>
      <c r="F251" s="39">
        <f t="shared" si="17"/>
        <v>20</v>
      </c>
      <c r="G251" s="55">
        <f t="shared" si="18"/>
        <v>60.60606061</v>
      </c>
      <c r="H251" s="83"/>
      <c r="I251" s="88" t="b">
        <v>0</v>
      </c>
      <c r="J251" s="88" t="b">
        <v>0</v>
      </c>
      <c r="K251" s="88" t="b">
        <v>0</v>
      </c>
      <c r="L251" s="88" t="b">
        <v>0</v>
      </c>
      <c r="M251" s="88" t="b">
        <v>0</v>
      </c>
      <c r="N251" s="88" t="b">
        <v>1</v>
      </c>
      <c r="O251" s="88" t="b">
        <v>0</v>
      </c>
      <c r="P251" s="88" t="b">
        <v>0</v>
      </c>
      <c r="Q251" s="88" t="b">
        <v>1</v>
      </c>
      <c r="R251" s="88" t="b">
        <v>1</v>
      </c>
      <c r="S251" s="88" t="b">
        <v>0</v>
      </c>
      <c r="T251" s="88" t="b">
        <v>1</v>
      </c>
      <c r="U251" s="88" t="b">
        <v>1</v>
      </c>
      <c r="V251" s="88" t="b">
        <v>1</v>
      </c>
      <c r="W251" s="88" t="b">
        <v>0</v>
      </c>
      <c r="X251" s="88" t="b">
        <v>0</v>
      </c>
      <c r="Y251" s="88" t="b">
        <v>1</v>
      </c>
      <c r="Z251" s="88" t="b">
        <v>1</v>
      </c>
      <c r="AA251" s="88" t="b">
        <v>1</v>
      </c>
      <c r="AB251" s="88" t="b">
        <v>1</v>
      </c>
      <c r="AC251" s="88" t="b">
        <v>0</v>
      </c>
      <c r="AD251" s="88" t="b">
        <v>0</v>
      </c>
      <c r="AE251" s="88" t="b">
        <v>0</v>
      </c>
      <c r="AF251" s="88" t="b">
        <v>1</v>
      </c>
      <c r="AG251" s="88" t="b">
        <v>1</v>
      </c>
      <c r="AH251" s="88" t="b">
        <v>1</v>
      </c>
      <c r="AI251" s="88" t="b">
        <v>1</v>
      </c>
      <c r="AJ251" s="88" t="b">
        <v>1</v>
      </c>
      <c r="AK251" s="88" t="b">
        <v>1</v>
      </c>
      <c r="AL251" s="88" t="b">
        <v>1</v>
      </c>
      <c r="AM251" s="88" t="b">
        <v>1</v>
      </c>
      <c r="AN251" s="88" t="b">
        <v>1</v>
      </c>
      <c r="AO251" s="88" t="b">
        <v>1</v>
      </c>
      <c r="AP251" s="83"/>
      <c r="AQ251" s="54">
        <f t="shared" si="19"/>
        <v>9</v>
      </c>
    </row>
    <row r="252">
      <c r="A252" s="83" t="s">
        <v>834</v>
      </c>
      <c r="B252" s="83" t="s">
        <v>835</v>
      </c>
      <c r="C252" s="87" t="s">
        <v>836</v>
      </c>
      <c r="D252" s="83" t="s">
        <v>830</v>
      </c>
      <c r="E252" s="39">
        <f t="shared" si="16"/>
        <v>33</v>
      </c>
      <c r="F252" s="39">
        <f t="shared" si="17"/>
        <v>31</v>
      </c>
      <c r="G252" s="52">
        <f t="shared" si="18"/>
        <v>93.93939394</v>
      </c>
      <c r="H252" s="83"/>
      <c r="I252" s="88" t="b">
        <v>1</v>
      </c>
      <c r="J252" s="88" t="b">
        <v>1</v>
      </c>
      <c r="K252" s="88" t="b">
        <v>1</v>
      </c>
      <c r="L252" s="88" t="b">
        <v>1</v>
      </c>
      <c r="M252" s="88" t="b">
        <v>1</v>
      </c>
      <c r="N252" s="88" t="b">
        <v>1</v>
      </c>
      <c r="O252" s="88" t="b">
        <v>0</v>
      </c>
      <c r="P252" s="88" t="b">
        <v>1</v>
      </c>
      <c r="Q252" s="88" t="b">
        <v>1</v>
      </c>
      <c r="R252" s="88" t="b">
        <v>1</v>
      </c>
      <c r="S252" s="88" t="b">
        <v>1</v>
      </c>
      <c r="T252" s="88" t="b">
        <v>0</v>
      </c>
      <c r="U252" s="88" t="b">
        <v>1</v>
      </c>
      <c r="V252" s="88" t="b">
        <v>1</v>
      </c>
      <c r="W252" s="88" t="b">
        <v>1</v>
      </c>
      <c r="X252" s="88" t="b">
        <v>1</v>
      </c>
      <c r="Y252" s="88" t="b">
        <v>1</v>
      </c>
      <c r="Z252" s="88" t="b">
        <v>1</v>
      </c>
      <c r="AA252" s="88" t="b">
        <v>1</v>
      </c>
      <c r="AB252" s="88" t="b">
        <v>1</v>
      </c>
      <c r="AC252" s="88" t="b">
        <v>1</v>
      </c>
      <c r="AD252" s="88" t="b">
        <v>1</v>
      </c>
      <c r="AE252" s="88" t="b">
        <v>1</v>
      </c>
      <c r="AF252" s="88" t="b">
        <v>1</v>
      </c>
      <c r="AG252" s="88" t="b">
        <v>1</v>
      </c>
      <c r="AH252" s="88" t="b">
        <v>1</v>
      </c>
      <c r="AI252" s="88" t="b">
        <v>1</v>
      </c>
      <c r="AJ252" s="88" t="b">
        <v>1</v>
      </c>
      <c r="AK252" s="88" t="b">
        <v>1</v>
      </c>
      <c r="AL252" s="88" t="b">
        <v>1</v>
      </c>
      <c r="AM252" s="88" t="b">
        <v>1</v>
      </c>
      <c r="AN252" s="88" t="b">
        <v>1</v>
      </c>
      <c r="AO252" s="88" t="b">
        <v>1</v>
      </c>
      <c r="AP252" s="83"/>
      <c r="AQ252" s="54">
        <f t="shared" si="19"/>
        <v>9</v>
      </c>
    </row>
    <row r="253">
      <c r="A253" s="83" t="s">
        <v>837</v>
      </c>
      <c r="B253" s="83" t="s">
        <v>838</v>
      </c>
      <c r="C253" s="87" t="s">
        <v>839</v>
      </c>
      <c r="D253" s="83" t="s">
        <v>830</v>
      </c>
      <c r="E253" s="39">
        <f t="shared" si="16"/>
        <v>33</v>
      </c>
      <c r="F253" s="39">
        <f t="shared" si="17"/>
        <v>29</v>
      </c>
      <c r="G253" s="52">
        <f t="shared" si="18"/>
        <v>87.87878788</v>
      </c>
      <c r="H253" s="83"/>
      <c r="I253" s="88" t="b">
        <v>1</v>
      </c>
      <c r="J253" s="88" t="b">
        <v>1</v>
      </c>
      <c r="K253" s="88" t="b">
        <v>1</v>
      </c>
      <c r="L253" s="88" t="b">
        <v>0</v>
      </c>
      <c r="M253" s="88" t="b">
        <v>1</v>
      </c>
      <c r="N253" s="88" t="b">
        <v>1</v>
      </c>
      <c r="O253" s="88" t="b">
        <v>1</v>
      </c>
      <c r="P253" s="88" t="b">
        <v>1</v>
      </c>
      <c r="Q253" s="88" t="b">
        <v>0</v>
      </c>
      <c r="R253" s="88" t="b">
        <v>1</v>
      </c>
      <c r="S253" s="88" t="b">
        <v>1</v>
      </c>
      <c r="T253" s="88" t="b">
        <v>1</v>
      </c>
      <c r="U253" s="88" t="b">
        <v>1</v>
      </c>
      <c r="V253" s="88" t="b">
        <v>1</v>
      </c>
      <c r="W253" s="88" t="b">
        <v>1</v>
      </c>
      <c r="X253" s="88" t="b">
        <v>1</v>
      </c>
      <c r="Y253" s="88" t="b">
        <v>1</v>
      </c>
      <c r="Z253" s="88" t="b">
        <v>1</v>
      </c>
      <c r="AA253" s="88" t="b">
        <v>0</v>
      </c>
      <c r="AB253" s="88" t="b">
        <v>0</v>
      </c>
      <c r="AC253" s="88" t="b">
        <v>1</v>
      </c>
      <c r="AD253" s="88" t="b">
        <v>1</v>
      </c>
      <c r="AE253" s="88" t="b">
        <v>1</v>
      </c>
      <c r="AF253" s="88" t="b">
        <v>1</v>
      </c>
      <c r="AG253" s="88" t="b">
        <v>1</v>
      </c>
      <c r="AH253" s="88" t="b">
        <v>1</v>
      </c>
      <c r="AI253" s="88" t="b">
        <v>1</v>
      </c>
      <c r="AJ253" s="88" t="b">
        <v>1</v>
      </c>
      <c r="AK253" s="88" t="b">
        <v>1</v>
      </c>
      <c r="AL253" s="88" t="b">
        <v>1</v>
      </c>
      <c r="AM253" s="88" t="b">
        <v>1</v>
      </c>
      <c r="AN253" s="88" t="b">
        <v>1</v>
      </c>
      <c r="AO253" s="88" t="b">
        <v>1</v>
      </c>
      <c r="AP253" s="83"/>
      <c r="AQ253" s="54">
        <f t="shared" si="19"/>
        <v>9</v>
      </c>
    </row>
    <row r="254">
      <c r="A254" s="83" t="s">
        <v>840</v>
      </c>
      <c r="B254" s="83" t="s">
        <v>841</v>
      </c>
      <c r="C254" s="87" t="s">
        <v>842</v>
      </c>
      <c r="D254" s="83" t="s">
        <v>830</v>
      </c>
      <c r="E254" s="39">
        <f t="shared" si="16"/>
        <v>33</v>
      </c>
      <c r="F254" s="39">
        <f t="shared" si="17"/>
        <v>30</v>
      </c>
      <c r="G254" s="52">
        <f t="shared" si="18"/>
        <v>90.90909091</v>
      </c>
      <c r="H254" s="83"/>
      <c r="I254" s="88" t="b">
        <v>1</v>
      </c>
      <c r="J254" s="88" t="b">
        <v>1</v>
      </c>
      <c r="K254" s="88" t="b">
        <v>1</v>
      </c>
      <c r="L254" s="88" t="b">
        <v>1</v>
      </c>
      <c r="M254" s="88" t="b">
        <v>1</v>
      </c>
      <c r="N254" s="88" t="b">
        <v>1</v>
      </c>
      <c r="O254" s="88" t="b">
        <v>1</v>
      </c>
      <c r="P254" s="88" t="b">
        <v>1</v>
      </c>
      <c r="Q254" s="88" t="b">
        <v>1</v>
      </c>
      <c r="R254" s="88" t="b">
        <v>1</v>
      </c>
      <c r="S254" s="88" t="b">
        <v>1</v>
      </c>
      <c r="T254" s="88" t="b">
        <v>1</v>
      </c>
      <c r="U254" s="88" t="b">
        <v>1</v>
      </c>
      <c r="V254" s="88" t="b">
        <v>1</v>
      </c>
      <c r="W254" s="88" t="b">
        <v>0</v>
      </c>
      <c r="X254" s="88" t="b">
        <v>0</v>
      </c>
      <c r="Y254" s="88" t="b">
        <v>1</v>
      </c>
      <c r="Z254" s="88" t="b">
        <v>1</v>
      </c>
      <c r="AA254" s="88" t="b">
        <v>1</v>
      </c>
      <c r="AB254" s="88" t="b">
        <v>1</v>
      </c>
      <c r="AC254" s="88" t="b">
        <v>0</v>
      </c>
      <c r="AD254" s="88" t="b">
        <v>1</v>
      </c>
      <c r="AE254" s="88" t="b">
        <v>1</v>
      </c>
      <c r="AF254" s="88" t="b">
        <v>1</v>
      </c>
      <c r="AG254" s="88" t="b">
        <v>1</v>
      </c>
      <c r="AH254" s="88" t="b">
        <v>1</v>
      </c>
      <c r="AI254" s="88" t="b">
        <v>1</v>
      </c>
      <c r="AJ254" s="88" t="b">
        <v>1</v>
      </c>
      <c r="AK254" s="88" t="b">
        <v>1</v>
      </c>
      <c r="AL254" s="88" t="b">
        <v>1</v>
      </c>
      <c r="AM254" s="88" t="b">
        <v>1</v>
      </c>
      <c r="AN254" s="88" t="b">
        <v>1</v>
      </c>
      <c r="AO254" s="88" t="b">
        <v>1</v>
      </c>
      <c r="AP254" s="83"/>
      <c r="AQ254" s="54">
        <f t="shared" si="19"/>
        <v>9</v>
      </c>
    </row>
    <row r="255">
      <c r="A255" s="83" t="s">
        <v>843</v>
      </c>
      <c r="B255" s="83" t="s">
        <v>844</v>
      </c>
      <c r="C255" s="87" t="s">
        <v>845</v>
      </c>
      <c r="D255" s="83" t="s">
        <v>830</v>
      </c>
      <c r="E255" s="39">
        <f t="shared" si="16"/>
        <v>33</v>
      </c>
      <c r="F255" s="39">
        <f t="shared" si="17"/>
        <v>33</v>
      </c>
      <c r="G255" s="52">
        <f t="shared" si="18"/>
        <v>100</v>
      </c>
      <c r="H255" s="83"/>
      <c r="I255" s="88" t="b">
        <v>1</v>
      </c>
      <c r="J255" s="88" t="b">
        <v>1</v>
      </c>
      <c r="K255" s="88" t="b">
        <v>1</v>
      </c>
      <c r="L255" s="88" t="b">
        <v>1</v>
      </c>
      <c r="M255" s="88" t="b">
        <v>1</v>
      </c>
      <c r="N255" s="88" t="b">
        <v>1</v>
      </c>
      <c r="O255" s="88" t="b">
        <v>1</v>
      </c>
      <c r="P255" s="88" t="b">
        <v>1</v>
      </c>
      <c r="Q255" s="88" t="b">
        <v>1</v>
      </c>
      <c r="R255" s="88" t="b">
        <v>1</v>
      </c>
      <c r="S255" s="88" t="b">
        <v>1</v>
      </c>
      <c r="T255" s="88" t="b">
        <v>1</v>
      </c>
      <c r="U255" s="88" t="b">
        <v>1</v>
      </c>
      <c r="V255" s="88" t="b">
        <v>1</v>
      </c>
      <c r="W255" s="88" t="b">
        <v>1</v>
      </c>
      <c r="X255" s="88" t="b">
        <v>1</v>
      </c>
      <c r="Y255" s="88" t="b">
        <v>1</v>
      </c>
      <c r="Z255" s="88" t="b">
        <v>1</v>
      </c>
      <c r="AA255" s="88" t="b">
        <v>1</v>
      </c>
      <c r="AB255" s="88" t="b">
        <v>1</v>
      </c>
      <c r="AC255" s="88" t="b">
        <v>1</v>
      </c>
      <c r="AD255" s="88" t="b">
        <v>1</v>
      </c>
      <c r="AE255" s="88" t="b">
        <v>1</v>
      </c>
      <c r="AF255" s="88" t="b">
        <v>1</v>
      </c>
      <c r="AG255" s="88" t="b">
        <v>1</v>
      </c>
      <c r="AH255" s="88" t="b">
        <v>1</v>
      </c>
      <c r="AI255" s="88" t="b">
        <v>1</v>
      </c>
      <c r="AJ255" s="88" t="b">
        <v>1</v>
      </c>
      <c r="AK255" s="88" t="b">
        <v>1</v>
      </c>
      <c r="AL255" s="88" t="b">
        <v>1</v>
      </c>
      <c r="AM255" s="88" t="b">
        <v>1</v>
      </c>
      <c r="AN255" s="88" t="b">
        <v>1</v>
      </c>
      <c r="AO255" s="88" t="b">
        <v>1</v>
      </c>
      <c r="AP255" s="83"/>
      <c r="AQ255" s="54">
        <f t="shared" si="19"/>
        <v>9</v>
      </c>
    </row>
    <row r="256">
      <c r="A256" s="83" t="s">
        <v>846</v>
      </c>
      <c r="B256" s="83" t="s">
        <v>847</v>
      </c>
      <c r="C256" s="87" t="s">
        <v>848</v>
      </c>
      <c r="D256" s="83" t="s">
        <v>830</v>
      </c>
      <c r="E256" s="39">
        <f t="shared" si="16"/>
        <v>33</v>
      </c>
      <c r="F256" s="39">
        <f t="shared" si="17"/>
        <v>21</v>
      </c>
      <c r="G256" s="55">
        <f t="shared" si="18"/>
        <v>63.63636364</v>
      </c>
      <c r="H256" s="83"/>
      <c r="I256" s="88" t="b">
        <v>1</v>
      </c>
      <c r="J256" s="88" t="b">
        <v>1</v>
      </c>
      <c r="K256" s="88" t="b">
        <v>0</v>
      </c>
      <c r="L256" s="88" t="b">
        <v>0</v>
      </c>
      <c r="M256" s="88" t="b">
        <v>1</v>
      </c>
      <c r="N256" s="88" t="b">
        <v>1</v>
      </c>
      <c r="O256" s="88" t="b">
        <v>1</v>
      </c>
      <c r="P256" s="88" t="b">
        <v>1</v>
      </c>
      <c r="Q256" s="88" t="b">
        <v>0</v>
      </c>
      <c r="R256" s="88" t="b">
        <v>1</v>
      </c>
      <c r="S256" s="88" t="b">
        <v>1</v>
      </c>
      <c r="T256" s="88" t="b">
        <v>1</v>
      </c>
      <c r="U256" s="88" t="b">
        <v>1</v>
      </c>
      <c r="V256" s="88" t="b">
        <v>0</v>
      </c>
      <c r="W256" s="88" t="b">
        <v>0</v>
      </c>
      <c r="X256" s="88" t="b">
        <v>1</v>
      </c>
      <c r="Y256" s="88" t="b">
        <v>0</v>
      </c>
      <c r="Z256" s="88" t="b">
        <v>0</v>
      </c>
      <c r="AA256" s="88" t="b">
        <v>0</v>
      </c>
      <c r="AB256" s="88" t="b">
        <v>0</v>
      </c>
      <c r="AC256" s="88" t="b">
        <v>0</v>
      </c>
      <c r="AD256" s="88" t="b">
        <v>1</v>
      </c>
      <c r="AE256" s="88" t="b">
        <v>1</v>
      </c>
      <c r="AF256" s="88" t="b">
        <v>1</v>
      </c>
      <c r="AG256" s="88" t="b">
        <v>1</v>
      </c>
      <c r="AH256" s="88" t="b">
        <v>1</v>
      </c>
      <c r="AI256" s="88" t="b">
        <v>0</v>
      </c>
      <c r="AJ256" s="88" t="b">
        <v>1</v>
      </c>
      <c r="AK256" s="88" t="b">
        <v>1</v>
      </c>
      <c r="AL256" s="88" t="b">
        <v>0</v>
      </c>
      <c r="AM256" s="88" t="b">
        <v>1</v>
      </c>
      <c r="AN256" s="88" t="b">
        <v>1</v>
      </c>
      <c r="AO256" s="88" t="b">
        <v>1</v>
      </c>
      <c r="AP256" s="83"/>
      <c r="AQ256" s="54">
        <f t="shared" si="19"/>
        <v>7</v>
      </c>
    </row>
    <row r="257">
      <c r="A257" s="83" t="s">
        <v>849</v>
      </c>
      <c r="B257" s="83" t="s">
        <v>850</v>
      </c>
      <c r="C257" s="87" t="s">
        <v>851</v>
      </c>
      <c r="D257" s="83" t="s">
        <v>830</v>
      </c>
      <c r="E257" s="39">
        <f t="shared" si="16"/>
        <v>33</v>
      </c>
      <c r="F257" s="39">
        <f t="shared" si="17"/>
        <v>29</v>
      </c>
      <c r="G257" s="52">
        <f t="shared" si="18"/>
        <v>87.87878788</v>
      </c>
      <c r="H257" s="83"/>
      <c r="I257" s="88" t="b">
        <v>1</v>
      </c>
      <c r="J257" s="88" t="b">
        <v>1</v>
      </c>
      <c r="K257" s="88" t="b">
        <v>1</v>
      </c>
      <c r="L257" s="88" t="b">
        <v>1</v>
      </c>
      <c r="M257" s="88" t="b">
        <v>1</v>
      </c>
      <c r="N257" s="88" t="b">
        <v>1</v>
      </c>
      <c r="O257" s="88" t="b">
        <v>1</v>
      </c>
      <c r="P257" s="88" t="b">
        <v>0</v>
      </c>
      <c r="Q257" s="88" t="b">
        <v>1</v>
      </c>
      <c r="R257" s="88" t="b">
        <v>1</v>
      </c>
      <c r="S257" s="88" t="b">
        <v>1</v>
      </c>
      <c r="T257" s="88" t="b">
        <v>1</v>
      </c>
      <c r="U257" s="88" t="b">
        <v>1</v>
      </c>
      <c r="V257" s="88" t="b">
        <v>1</v>
      </c>
      <c r="W257" s="88" t="b">
        <v>1</v>
      </c>
      <c r="X257" s="88" t="b">
        <v>1</v>
      </c>
      <c r="Y257" s="88" t="b">
        <v>1</v>
      </c>
      <c r="Z257" s="88" t="b">
        <v>0</v>
      </c>
      <c r="AA257" s="88" t="b">
        <v>1</v>
      </c>
      <c r="AB257" s="88" t="b">
        <v>1</v>
      </c>
      <c r="AC257" s="88" t="b">
        <v>1</v>
      </c>
      <c r="AD257" s="88" t="b">
        <v>1</v>
      </c>
      <c r="AE257" s="88" t="b">
        <v>0</v>
      </c>
      <c r="AF257" s="88" t="b">
        <v>1</v>
      </c>
      <c r="AG257" s="88" t="b">
        <v>1</v>
      </c>
      <c r="AH257" s="88" t="b">
        <v>1</v>
      </c>
      <c r="AI257" s="88" t="b">
        <v>0</v>
      </c>
      <c r="AJ257" s="88" t="b">
        <v>1</v>
      </c>
      <c r="AK257" s="88" t="b">
        <v>1</v>
      </c>
      <c r="AL257" s="88" t="b">
        <v>1</v>
      </c>
      <c r="AM257" s="88" t="b">
        <v>1</v>
      </c>
      <c r="AN257" s="88" t="b">
        <v>1</v>
      </c>
      <c r="AO257" s="88" t="b">
        <v>1</v>
      </c>
      <c r="AP257" s="83"/>
      <c r="AQ257" s="54">
        <f t="shared" si="19"/>
        <v>8</v>
      </c>
    </row>
    <row r="258">
      <c r="A258" s="83" t="s">
        <v>852</v>
      </c>
      <c r="B258" s="83" t="s">
        <v>853</v>
      </c>
      <c r="C258" s="87" t="s">
        <v>854</v>
      </c>
      <c r="D258" s="83" t="s">
        <v>830</v>
      </c>
      <c r="E258" s="39">
        <f t="shared" si="16"/>
        <v>33</v>
      </c>
      <c r="F258" s="39">
        <f t="shared" si="17"/>
        <v>10</v>
      </c>
      <c r="G258" s="55">
        <f t="shared" si="18"/>
        <v>30.3030303</v>
      </c>
      <c r="H258" s="83"/>
      <c r="I258" s="88" t="b">
        <v>1</v>
      </c>
      <c r="J258" s="88" t="b">
        <v>1</v>
      </c>
      <c r="K258" s="88" t="b">
        <v>0</v>
      </c>
      <c r="L258" s="88" t="b">
        <v>0</v>
      </c>
      <c r="M258" s="88" t="b">
        <v>0</v>
      </c>
      <c r="N258" s="88" t="b">
        <v>0</v>
      </c>
      <c r="O258" s="88" t="b">
        <v>0</v>
      </c>
      <c r="P258" s="88" t="b">
        <v>0</v>
      </c>
      <c r="Q258" s="88" t="b">
        <v>1</v>
      </c>
      <c r="R258" s="88" t="b">
        <v>1</v>
      </c>
      <c r="S258" s="88" t="b">
        <v>0</v>
      </c>
      <c r="T258" s="88" t="b">
        <v>1</v>
      </c>
      <c r="U258" s="88" t="b">
        <v>0</v>
      </c>
      <c r="V258" s="88" t="b">
        <v>0</v>
      </c>
      <c r="W258" s="88" t="b">
        <v>0</v>
      </c>
      <c r="X258" s="88" t="b">
        <v>0</v>
      </c>
      <c r="Y258" s="88" t="b">
        <v>1</v>
      </c>
      <c r="Z258" s="88" t="b">
        <v>1</v>
      </c>
      <c r="AA258" s="88" t="b">
        <v>0</v>
      </c>
      <c r="AB258" s="88" t="b">
        <v>1</v>
      </c>
      <c r="AC258" s="88" t="b">
        <v>0</v>
      </c>
      <c r="AD258" s="88" t="b">
        <v>0</v>
      </c>
      <c r="AE258" s="88" t="b">
        <v>0</v>
      </c>
      <c r="AF258" s="88" t="b">
        <v>0</v>
      </c>
      <c r="AG258" s="88" t="b">
        <v>0</v>
      </c>
      <c r="AH258" s="88" t="b">
        <v>0</v>
      </c>
      <c r="AI258" s="88" t="b">
        <v>0</v>
      </c>
      <c r="AJ258" s="88" t="b">
        <v>0</v>
      </c>
      <c r="AK258" s="88" t="b">
        <v>0</v>
      </c>
      <c r="AL258" s="88" t="b">
        <v>0</v>
      </c>
      <c r="AM258" s="88" t="b">
        <v>1</v>
      </c>
      <c r="AN258" s="88" t="b">
        <v>1</v>
      </c>
      <c r="AO258" s="88" t="b">
        <v>0</v>
      </c>
      <c r="AP258" s="83"/>
      <c r="AQ258" s="54">
        <f t="shared" si="19"/>
        <v>2</v>
      </c>
    </row>
    <row r="259">
      <c r="A259" s="83" t="s">
        <v>855</v>
      </c>
      <c r="B259" s="83" t="s">
        <v>856</v>
      </c>
      <c r="C259" s="87" t="s">
        <v>857</v>
      </c>
      <c r="D259" s="83" t="s">
        <v>830</v>
      </c>
      <c r="E259" s="39">
        <f t="shared" si="16"/>
        <v>33</v>
      </c>
      <c r="F259" s="39">
        <f t="shared" si="17"/>
        <v>24</v>
      </c>
      <c r="G259" s="52">
        <f t="shared" si="18"/>
        <v>72.72727273</v>
      </c>
      <c r="H259" s="83"/>
      <c r="I259" s="88" t="b">
        <v>0</v>
      </c>
      <c r="J259" s="88" t="b">
        <v>0</v>
      </c>
      <c r="K259" s="88" t="b">
        <v>1</v>
      </c>
      <c r="L259" s="88" t="b">
        <v>1</v>
      </c>
      <c r="M259" s="88" t="b">
        <v>1</v>
      </c>
      <c r="N259" s="88" t="b">
        <v>1</v>
      </c>
      <c r="O259" s="88" t="b">
        <v>1</v>
      </c>
      <c r="P259" s="88" t="b">
        <v>1</v>
      </c>
      <c r="Q259" s="88" t="b">
        <v>1</v>
      </c>
      <c r="R259" s="88" t="b">
        <v>1</v>
      </c>
      <c r="S259" s="88" t="b">
        <v>1</v>
      </c>
      <c r="T259" s="88" t="b">
        <v>1</v>
      </c>
      <c r="U259" s="88" t="b">
        <v>1</v>
      </c>
      <c r="V259" s="88" t="b">
        <v>1</v>
      </c>
      <c r="W259" s="88" t="b">
        <v>0</v>
      </c>
      <c r="X259" s="88" t="b">
        <v>1</v>
      </c>
      <c r="Y259" s="88" t="b">
        <v>1</v>
      </c>
      <c r="Z259" s="88" t="b">
        <v>1</v>
      </c>
      <c r="AA259" s="88" t="b">
        <v>0</v>
      </c>
      <c r="AB259" s="88" t="b">
        <v>1</v>
      </c>
      <c r="AC259" s="88" t="b">
        <v>0</v>
      </c>
      <c r="AD259" s="88" t="b">
        <v>0</v>
      </c>
      <c r="AE259" s="88" t="b">
        <v>0</v>
      </c>
      <c r="AF259" s="88" t="b">
        <v>1</v>
      </c>
      <c r="AG259" s="88" t="b">
        <v>1</v>
      </c>
      <c r="AH259" s="88" t="b">
        <v>1</v>
      </c>
      <c r="AI259" s="88" t="b">
        <v>0</v>
      </c>
      <c r="AJ259" s="88" t="b">
        <v>1</v>
      </c>
      <c r="AK259" s="88" t="b">
        <v>1</v>
      </c>
      <c r="AL259" s="88" t="b">
        <v>1</v>
      </c>
      <c r="AM259" s="88" t="b">
        <v>1</v>
      </c>
      <c r="AN259" s="88" t="b">
        <v>1</v>
      </c>
      <c r="AO259" s="88" t="b">
        <v>0</v>
      </c>
      <c r="AP259" s="83"/>
      <c r="AQ259" s="54">
        <f t="shared" si="19"/>
        <v>7</v>
      </c>
    </row>
    <row r="260">
      <c r="A260" s="83" t="s">
        <v>858</v>
      </c>
      <c r="B260" s="83" t="s">
        <v>859</v>
      </c>
      <c r="C260" s="87" t="s">
        <v>860</v>
      </c>
      <c r="D260" s="83" t="s">
        <v>830</v>
      </c>
      <c r="E260" s="39">
        <f t="shared" si="16"/>
        <v>33</v>
      </c>
      <c r="F260" s="39">
        <f t="shared" si="17"/>
        <v>28</v>
      </c>
      <c r="G260" s="52">
        <f t="shared" si="18"/>
        <v>84.84848485</v>
      </c>
      <c r="H260" s="83"/>
      <c r="I260" s="88" t="b">
        <v>1</v>
      </c>
      <c r="J260" s="88" t="b">
        <v>1</v>
      </c>
      <c r="K260" s="88" t="b">
        <v>1</v>
      </c>
      <c r="L260" s="88" t="b">
        <v>1</v>
      </c>
      <c r="M260" s="88" t="b">
        <v>1</v>
      </c>
      <c r="N260" s="88" t="b">
        <v>1</v>
      </c>
      <c r="O260" s="88" t="b">
        <v>1</v>
      </c>
      <c r="P260" s="88" t="b">
        <v>1</v>
      </c>
      <c r="Q260" s="88" t="b">
        <v>1</v>
      </c>
      <c r="R260" s="88" t="b">
        <v>1</v>
      </c>
      <c r="S260" s="88" t="b">
        <v>1</v>
      </c>
      <c r="T260" s="88" t="b">
        <v>1</v>
      </c>
      <c r="U260" s="88" t="b">
        <v>1</v>
      </c>
      <c r="V260" s="88" t="b">
        <v>1</v>
      </c>
      <c r="W260" s="88" t="b">
        <v>0</v>
      </c>
      <c r="X260" s="88" t="b">
        <v>1</v>
      </c>
      <c r="Y260" s="88" t="b">
        <v>0</v>
      </c>
      <c r="Z260" s="88" t="b">
        <v>1</v>
      </c>
      <c r="AA260" s="88" t="b">
        <v>1</v>
      </c>
      <c r="AB260" s="88" t="b">
        <v>1</v>
      </c>
      <c r="AC260" s="88" t="b">
        <v>1</v>
      </c>
      <c r="AD260" s="88" t="b">
        <v>1</v>
      </c>
      <c r="AE260" s="88" t="b">
        <v>1</v>
      </c>
      <c r="AF260" s="88" t="b">
        <v>0</v>
      </c>
      <c r="AG260" s="88" t="b">
        <v>1</v>
      </c>
      <c r="AH260" s="88" t="b">
        <v>1</v>
      </c>
      <c r="AI260" s="88" t="b">
        <v>0</v>
      </c>
      <c r="AJ260" s="88" t="b">
        <v>1</v>
      </c>
      <c r="AK260" s="88" t="b">
        <v>1</v>
      </c>
      <c r="AL260" s="88" t="b">
        <v>1</v>
      </c>
      <c r="AM260" s="88" t="b">
        <v>1</v>
      </c>
      <c r="AN260" s="88" t="b">
        <v>1</v>
      </c>
      <c r="AO260" s="88" t="b">
        <v>0</v>
      </c>
      <c r="AP260" s="83"/>
      <c r="AQ260" s="54">
        <f t="shared" si="19"/>
        <v>7</v>
      </c>
    </row>
    <row r="261">
      <c r="A261" s="83" t="s">
        <v>861</v>
      </c>
      <c r="B261" s="83" t="s">
        <v>862</v>
      </c>
      <c r="C261" s="87" t="s">
        <v>863</v>
      </c>
      <c r="D261" s="83" t="s">
        <v>830</v>
      </c>
      <c r="E261" s="39">
        <f t="shared" si="16"/>
        <v>33</v>
      </c>
      <c r="F261" s="39">
        <f t="shared" si="17"/>
        <v>20</v>
      </c>
      <c r="G261" s="55">
        <f t="shared" si="18"/>
        <v>60.60606061</v>
      </c>
      <c r="H261" s="83"/>
      <c r="I261" s="88" t="b">
        <v>0</v>
      </c>
      <c r="J261" s="88" t="b">
        <v>0</v>
      </c>
      <c r="K261" s="88" t="b">
        <v>0</v>
      </c>
      <c r="L261" s="88" t="b">
        <v>0</v>
      </c>
      <c r="M261" s="88" t="b">
        <v>0</v>
      </c>
      <c r="N261" s="88" t="b">
        <v>1</v>
      </c>
      <c r="O261" s="88" t="b">
        <v>0</v>
      </c>
      <c r="P261" s="88" t="b">
        <v>0</v>
      </c>
      <c r="Q261" s="88" t="b">
        <v>1</v>
      </c>
      <c r="R261" s="88" t="b">
        <v>1</v>
      </c>
      <c r="S261" s="88" t="b">
        <v>0</v>
      </c>
      <c r="T261" s="88" t="b">
        <v>0</v>
      </c>
      <c r="U261" s="88" t="b">
        <v>1</v>
      </c>
      <c r="V261" s="88" t="b">
        <v>1</v>
      </c>
      <c r="W261" s="88" t="b">
        <v>1</v>
      </c>
      <c r="X261" s="88" t="b">
        <v>1</v>
      </c>
      <c r="Y261" s="88" t="b">
        <v>1</v>
      </c>
      <c r="Z261" s="88" t="b">
        <v>1</v>
      </c>
      <c r="AA261" s="88" t="b">
        <v>1</v>
      </c>
      <c r="AB261" s="88" t="b">
        <v>1</v>
      </c>
      <c r="AC261" s="88" t="b">
        <v>1</v>
      </c>
      <c r="AD261" s="88" t="b">
        <v>0</v>
      </c>
      <c r="AE261" s="88" t="b">
        <v>1</v>
      </c>
      <c r="AF261" s="88" t="b">
        <v>1</v>
      </c>
      <c r="AG261" s="88" t="b">
        <v>1</v>
      </c>
      <c r="AH261" s="88" t="b">
        <v>0</v>
      </c>
      <c r="AI261" s="88" t="b">
        <v>0</v>
      </c>
      <c r="AJ261" s="88" t="b">
        <v>1</v>
      </c>
      <c r="AK261" s="88" t="b">
        <v>1</v>
      </c>
      <c r="AL261" s="88" t="b">
        <v>1</v>
      </c>
      <c r="AM261" s="88" t="b">
        <v>1</v>
      </c>
      <c r="AN261" s="88" t="b">
        <v>1</v>
      </c>
      <c r="AO261" s="88" t="b">
        <v>0</v>
      </c>
      <c r="AP261" s="83"/>
      <c r="AQ261" s="54">
        <f t="shared" si="19"/>
        <v>6</v>
      </c>
    </row>
    <row r="262">
      <c r="A262" s="83" t="s">
        <v>864</v>
      </c>
      <c r="B262" s="83" t="s">
        <v>865</v>
      </c>
      <c r="C262" s="87" t="s">
        <v>866</v>
      </c>
      <c r="D262" s="83" t="s">
        <v>830</v>
      </c>
      <c r="E262" s="39">
        <f t="shared" si="16"/>
        <v>33</v>
      </c>
      <c r="F262" s="39">
        <f t="shared" si="17"/>
        <v>12</v>
      </c>
      <c r="G262" s="55">
        <f t="shared" si="18"/>
        <v>36.36363636</v>
      </c>
      <c r="H262" s="83"/>
      <c r="I262" s="88" t="b">
        <v>0</v>
      </c>
      <c r="J262" s="88" t="b">
        <v>0</v>
      </c>
      <c r="K262" s="88" t="b">
        <v>0</v>
      </c>
      <c r="L262" s="88" t="b">
        <v>0</v>
      </c>
      <c r="M262" s="88" t="b">
        <v>0</v>
      </c>
      <c r="N262" s="88" t="b">
        <v>0</v>
      </c>
      <c r="O262" s="88" t="b">
        <v>0</v>
      </c>
      <c r="P262" s="88" t="b">
        <v>0</v>
      </c>
      <c r="Q262" s="88" t="b">
        <v>0</v>
      </c>
      <c r="R262" s="88" t="b">
        <v>0</v>
      </c>
      <c r="S262" s="88" t="b">
        <v>0</v>
      </c>
      <c r="T262" s="88" t="b">
        <v>1</v>
      </c>
      <c r="U262" s="88" t="b">
        <v>1</v>
      </c>
      <c r="V262" s="88" t="b">
        <v>0</v>
      </c>
      <c r="W262" s="88" t="b">
        <v>0</v>
      </c>
      <c r="X262" s="88" t="b">
        <v>0</v>
      </c>
      <c r="Y262" s="88" t="b">
        <v>0</v>
      </c>
      <c r="Z262" s="88" t="b">
        <v>0</v>
      </c>
      <c r="AA262" s="88" t="b">
        <v>0</v>
      </c>
      <c r="AB262" s="88" t="b">
        <v>0</v>
      </c>
      <c r="AC262" s="88" t="b">
        <v>0</v>
      </c>
      <c r="AD262" s="88" t="b">
        <v>0</v>
      </c>
      <c r="AE262" s="88" t="b">
        <v>1</v>
      </c>
      <c r="AF262" s="88" t="b">
        <v>1</v>
      </c>
      <c r="AG262" s="88" t="b">
        <v>1</v>
      </c>
      <c r="AH262" s="88" t="b">
        <v>1</v>
      </c>
      <c r="AI262" s="88" t="b">
        <v>1</v>
      </c>
      <c r="AJ262" s="88" t="b">
        <v>1</v>
      </c>
      <c r="AK262" s="88" t="b">
        <v>0</v>
      </c>
      <c r="AL262" s="88" t="b">
        <v>1</v>
      </c>
      <c r="AM262" s="88" t="b">
        <v>1</v>
      </c>
      <c r="AN262" s="88" t="b">
        <v>1</v>
      </c>
      <c r="AO262" s="88" t="b">
        <v>1</v>
      </c>
      <c r="AP262" s="83"/>
      <c r="AQ262" s="54">
        <f t="shared" si="19"/>
        <v>8</v>
      </c>
    </row>
    <row r="263">
      <c r="A263" s="83" t="s">
        <v>867</v>
      </c>
      <c r="B263" s="83" t="s">
        <v>868</v>
      </c>
      <c r="C263" s="87" t="s">
        <v>869</v>
      </c>
      <c r="D263" s="83" t="s">
        <v>830</v>
      </c>
      <c r="E263" s="39">
        <f t="shared" si="16"/>
        <v>33</v>
      </c>
      <c r="F263" s="39">
        <f t="shared" si="17"/>
        <v>14</v>
      </c>
      <c r="G263" s="55">
        <f t="shared" si="18"/>
        <v>42.42424242</v>
      </c>
      <c r="H263" s="83"/>
      <c r="I263" s="88" t="b">
        <v>0</v>
      </c>
      <c r="J263" s="88" t="b">
        <v>0</v>
      </c>
      <c r="K263" s="88" t="b">
        <v>0</v>
      </c>
      <c r="L263" s="88" t="b">
        <v>0</v>
      </c>
      <c r="M263" s="88" t="b">
        <v>1</v>
      </c>
      <c r="N263" s="88" t="b">
        <v>0</v>
      </c>
      <c r="O263" s="88" t="b">
        <v>1</v>
      </c>
      <c r="P263" s="88" t="b">
        <v>1</v>
      </c>
      <c r="Q263" s="88" t="b">
        <v>1</v>
      </c>
      <c r="R263" s="88" t="b">
        <v>0</v>
      </c>
      <c r="S263" s="88" t="b">
        <v>1</v>
      </c>
      <c r="T263" s="88" t="b">
        <v>1</v>
      </c>
      <c r="U263" s="88" t="b">
        <v>1</v>
      </c>
      <c r="V263" s="88" t="b">
        <v>0</v>
      </c>
      <c r="W263" s="88" t="b">
        <v>0</v>
      </c>
      <c r="X263" s="88" t="b">
        <v>0</v>
      </c>
      <c r="Y263" s="88" t="b">
        <v>1</v>
      </c>
      <c r="Z263" s="88" t="b">
        <v>1</v>
      </c>
      <c r="AA263" s="88" t="b">
        <v>0</v>
      </c>
      <c r="AB263" s="88" t="b">
        <v>0</v>
      </c>
      <c r="AC263" s="88" t="b">
        <v>0</v>
      </c>
      <c r="AD263" s="88" t="b">
        <v>1</v>
      </c>
      <c r="AE263" s="88" t="b">
        <v>0</v>
      </c>
      <c r="AF263" s="88" t="b">
        <v>0</v>
      </c>
      <c r="AG263" s="88" t="b">
        <v>0</v>
      </c>
      <c r="AH263" s="88" t="b">
        <v>0</v>
      </c>
      <c r="AI263" s="88" t="b">
        <v>1</v>
      </c>
      <c r="AJ263" s="88" t="b">
        <v>1</v>
      </c>
      <c r="AK263" s="88" t="b">
        <v>1</v>
      </c>
      <c r="AL263" s="88" t="b">
        <v>1</v>
      </c>
      <c r="AM263" s="88" t="b">
        <v>0</v>
      </c>
      <c r="AN263" s="88" t="b">
        <v>0</v>
      </c>
      <c r="AO263" s="88" t="b">
        <v>0</v>
      </c>
      <c r="AP263" s="17"/>
      <c r="AQ263" s="54">
        <f t="shared" si="19"/>
        <v>4</v>
      </c>
    </row>
    <row r="264">
      <c r="A264" s="17"/>
      <c r="B264" s="17"/>
      <c r="C264" s="89"/>
      <c r="D264" s="17"/>
      <c r="E264" s="17"/>
      <c r="F264" s="17"/>
      <c r="G264" s="17"/>
      <c r="H264" s="90">
        <f>COUNTIF(H250:H263,TRUE)</f>
        <v>0</v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 t="s">
        <v>16</v>
      </c>
      <c r="AK264" s="17"/>
      <c r="AL264" s="17"/>
      <c r="AM264" s="17"/>
      <c r="AN264" s="17"/>
      <c r="AO264" s="17"/>
      <c r="AP264" s="17"/>
      <c r="AQ264" s="54">
        <f t="shared" si="19"/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1" t="s">
        <v>0</v>
      </c>
      <c r="B1" s="91" t="s">
        <v>1</v>
      </c>
      <c r="C1" s="92" t="s">
        <v>204</v>
      </c>
      <c r="D1" s="91" t="s">
        <v>3</v>
      </c>
      <c r="E1" s="93" t="s">
        <v>205</v>
      </c>
      <c r="F1" s="93" t="s">
        <v>206</v>
      </c>
      <c r="G1" s="94" t="s">
        <v>207</v>
      </c>
      <c r="H1" s="1"/>
      <c r="I1" s="95">
        <v>46096.0</v>
      </c>
      <c r="J1" s="95">
        <v>46095.0</v>
      </c>
      <c r="K1" s="95">
        <v>46089.0</v>
      </c>
      <c r="L1" s="95">
        <v>46088.0</v>
      </c>
      <c r="M1" s="95">
        <v>46082.0</v>
      </c>
      <c r="N1" s="9">
        <v>46081.0</v>
      </c>
      <c r="O1" s="9">
        <v>46075.0</v>
      </c>
      <c r="P1" s="9">
        <v>46074.0</v>
      </c>
      <c r="Q1" s="9">
        <v>46068.0</v>
      </c>
    </row>
    <row r="2">
      <c r="A2" s="96" t="s">
        <v>870</v>
      </c>
      <c r="B2" s="96" t="s">
        <v>871</v>
      </c>
      <c r="C2" s="97">
        <v>9.711451737E9</v>
      </c>
      <c r="D2" s="97" t="s">
        <v>872</v>
      </c>
      <c r="E2" s="98">
        <f t="shared" ref="E2:E49" si="1">COUNTIF($H2:Z2,TRUE) + COUNTIF($H2:Z2,FALSE)</f>
        <v>9</v>
      </c>
      <c r="F2" s="98">
        <f t="shared" ref="F2:F49" si="2">COUNTIF($H2:Z2,TRUE)</f>
        <v>9</v>
      </c>
      <c r="G2" s="99">
        <f t="shared" ref="G2:G49" si="3">($F2/$E2)*100</f>
        <v>100</v>
      </c>
      <c r="H2" s="49"/>
      <c r="I2" s="53" t="b">
        <v>1</v>
      </c>
      <c r="J2" s="53" t="b">
        <v>1</v>
      </c>
      <c r="K2" s="53" t="b">
        <v>1</v>
      </c>
      <c r="L2" s="53" t="b">
        <v>1</v>
      </c>
      <c r="M2" s="53" t="b">
        <v>1</v>
      </c>
      <c r="N2" s="53" t="b">
        <v>1</v>
      </c>
      <c r="O2" s="53" t="b">
        <v>1</v>
      </c>
      <c r="P2" s="53" t="b">
        <v>1</v>
      </c>
      <c r="Q2" s="53" t="b">
        <v>1</v>
      </c>
    </row>
    <row r="3">
      <c r="A3" s="96" t="s">
        <v>873</v>
      </c>
      <c r="B3" s="96" t="s">
        <v>874</v>
      </c>
      <c r="C3" s="97">
        <v>6.392415485E9</v>
      </c>
      <c r="D3" s="97" t="s">
        <v>872</v>
      </c>
      <c r="E3" s="98">
        <f t="shared" si="1"/>
        <v>9</v>
      </c>
      <c r="F3" s="98">
        <f t="shared" si="2"/>
        <v>9</v>
      </c>
      <c r="G3" s="99">
        <f t="shared" si="3"/>
        <v>100</v>
      </c>
      <c r="H3" s="49"/>
      <c r="I3" s="53" t="b">
        <v>1</v>
      </c>
      <c r="J3" s="53" t="b">
        <v>1</v>
      </c>
      <c r="K3" s="53" t="b">
        <v>1</v>
      </c>
      <c r="L3" s="53" t="b">
        <v>1</v>
      </c>
      <c r="M3" s="53" t="b">
        <v>1</v>
      </c>
      <c r="N3" s="53" t="b">
        <v>1</v>
      </c>
      <c r="O3" s="53" t="b">
        <v>1</v>
      </c>
      <c r="P3" s="53" t="b">
        <v>1</v>
      </c>
      <c r="Q3" s="53" t="b">
        <v>1</v>
      </c>
    </row>
    <row r="4">
      <c r="A4" s="96" t="s">
        <v>875</v>
      </c>
      <c r="B4" s="96" t="s">
        <v>876</v>
      </c>
      <c r="C4" s="97">
        <v>8.102480586E9</v>
      </c>
      <c r="D4" s="97" t="s">
        <v>872</v>
      </c>
      <c r="E4" s="98">
        <f t="shared" si="1"/>
        <v>9</v>
      </c>
      <c r="F4" s="98">
        <f t="shared" si="2"/>
        <v>4</v>
      </c>
      <c r="G4" s="100">
        <f t="shared" si="3"/>
        <v>44.44444444</v>
      </c>
      <c r="H4" s="49"/>
      <c r="I4" s="53" t="b">
        <v>1</v>
      </c>
      <c r="J4" s="53" t="b">
        <v>1</v>
      </c>
      <c r="K4" s="53" t="b">
        <v>1</v>
      </c>
      <c r="L4" s="53" t="b">
        <v>1</v>
      </c>
      <c r="M4" s="53" t="b">
        <v>0</v>
      </c>
      <c r="N4" s="53" t="b">
        <v>0</v>
      </c>
      <c r="O4" s="53" t="b">
        <v>0</v>
      </c>
      <c r="P4" s="53" t="b">
        <v>0</v>
      </c>
      <c r="Q4" s="53" t="b">
        <v>0</v>
      </c>
    </row>
    <row r="5">
      <c r="A5" s="96" t="s">
        <v>877</v>
      </c>
      <c r="B5" s="96" t="s">
        <v>878</v>
      </c>
      <c r="C5" s="97">
        <v>7.985578601E9</v>
      </c>
      <c r="D5" s="97" t="s">
        <v>872</v>
      </c>
      <c r="E5" s="98">
        <f t="shared" si="1"/>
        <v>9</v>
      </c>
      <c r="F5" s="98">
        <f t="shared" si="2"/>
        <v>8</v>
      </c>
      <c r="G5" s="99">
        <f t="shared" si="3"/>
        <v>88.88888889</v>
      </c>
      <c r="H5" s="49"/>
      <c r="I5" s="53" t="b">
        <v>1</v>
      </c>
      <c r="J5" s="53" t="b">
        <v>1</v>
      </c>
      <c r="K5" s="53" t="b">
        <v>1</v>
      </c>
      <c r="L5" s="53" t="b">
        <v>1</v>
      </c>
      <c r="M5" s="53" t="b">
        <v>1</v>
      </c>
      <c r="N5" s="53" t="b">
        <v>1</v>
      </c>
      <c r="O5" s="53" t="b">
        <v>1</v>
      </c>
      <c r="P5" s="53" t="b">
        <v>1</v>
      </c>
      <c r="Q5" s="53" t="b">
        <v>0</v>
      </c>
    </row>
    <row r="6">
      <c r="A6" s="96" t="s">
        <v>879</v>
      </c>
      <c r="B6" s="96" t="s">
        <v>880</v>
      </c>
      <c r="C6" s="97">
        <v>7.042280845E9</v>
      </c>
      <c r="D6" s="97" t="s">
        <v>872</v>
      </c>
      <c r="E6" s="98">
        <f t="shared" si="1"/>
        <v>9</v>
      </c>
      <c r="F6" s="98">
        <f t="shared" si="2"/>
        <v>7</v>
      </c>
      <c r="G6" s="99">
        <f t="shared" si="3"/>
        <v>77.77777778</v>
      </c>
      <c r="H6" s="49"/>
      <c r="I6" s="53" t="b">
        <v>1</v>
      </c>
      <c r="J6" s="53" t="b">
        <v>1</v>
      </c>
      <c r="K6" s="53" t="b">
        <v>1</v>
      </c>
      <c r="L6" s="53" t="b">
        <v>1</v>
      </c>
      <c r="M6" s="53" t="b">
        <v>1</v>
      </c>
      <c r="N6" s="53" t="b">
        <v>1</v>
      </c>
      <c r="O6" s="53" t="b">
        <v>0</v>
      </c>
      <c r="P6" s="53" t="b">
        <v>0</v>
      </c>
      <c r="Q6" s="53" t="b">
        <v>1</v>
      </c>
    </row>
    <row r="7">
      <c r="A7" s="96" t="s">
        <v>881</v>
      </c>
      <c r="B7" s="96" t="s">
        <v>882</v>
      </c>
      <c r="C7" s="97">
        <v>7.008972815E9</v>
      </c>
      <c r="D7" s="97" t="s">
        <v>872</v>
      </c>
      <c r="E7" s="98">
        <f t="shared" si="1"/>
        <v>9</v>
      </c>
      <c r="F7" s="98">
        <f t="shared" si="2"/>
        <v>9</v>
      </c>
      <c r="G7" s="99">
        <f t="shared" si="3"/>
        <v>100</v>
      </c>
      <c r="H7" s="49"/>
      <c r="I7" s="53" t="b">
        <v>1</v>
      </c>
      <c r="J7" s="53" t="b">
        <v>1</v>
      </c>
      <c r="K7" s="53" t="b">
        <v>1</v>
      </c>
      <c r="L7" s="53" t="b">
        <v>1</v>
      </c>
      <c r="M7" s="53" t="b">
        <v>1</v>
      </c>
      <c r="N7" s="53" t="b">
        <v>1</v>
      </c>
      <c r="O7" s="53" t="b">
        <v>1</v>
      </c>
      <c r="P7" s="53" t="b">
        <v>1</v>
      </c>
      <c r="Q7" s="53" t="b">
        <v>1</v>
      </c>
    </row>
    <row r="8">
      <c r="A8" s="96" t="s">
        <v>883</v>
      </c>
      <c r="B8" s="96" t="s">
        <v>884</v>
      </c>
      <c r="C8" s="97">
        <v>7.462850751E9</v>
      </c>
      <c r="D8" s="97" t="s">
        <v>872</v>
      </c>
      <c r="E8" s="98">
        <f t="shared" si="1"/>
        <v>9</v>
      </c>
      <c r="F8" s="98">
        <f t="shared" si="2"/>
        <v>1</v>
      </c>
      <c r="G8" s="100">
        <f t="shared" si="3"/>
        <v>11.11111111</v>
      </c>
      <c r="H8" s="49"/>
      <c r="I8" s="53" t="b">
        <v>0</v>
      </c>
      <c r="J8" s="53" t="b">
        <v>0</v>
      </c>
      <c r="K8" s="53" t="b">
        <v>0</v>
      </c>
      <c r="L8" s="53" t="b">
        <v>0</v>
      </c>
      <c r="M8" s="53" t="b">
        <v>0</v>
      </c>
      <c r="N8" s="53" t="b">
        <v>0</v>
      </c>
      <c r="O8" s="53" t="b">
        <v>0</v>
      </c>
      <c r="P8" s="53" t="b">
        <v>1</v>
      </c>
      <c r="Q8" s="53" t="b">
        <v>0</v>
      </c>
    </row>
    <row r="9">
      <c r="A9" s="96" t="s">
        <v>885</v>
      </c>
      <c r="B9" s="96" t="s">
        <v>886</v>
      </c>
      <c r="C9" s="97">
        <v>8.168861652E9</v>
      </c>
      <c r="D9" s="97" t="s">
        <v>872</v>
      </c>
      <c r="E9" s="98">
        <f t="shared" si="1"/>
        <v>9</v>
      </c>
      <c r="F9" s="98">
        <f t="shared" si="2"/>
        <v>9</v>
      </c>
      <c r="G9" s="99">
        <f t="shared" si="3"/>
        <v>100</v>
      </c>
      <c r="H9" s="49"/>
      <c r="I9" s="53" t="b">
        <v>1</v>
      </c>
      <c r="J9" s="53" t="b">
        <v>1</v>
      </c>
      <c r="K9" s="53" t="b">
        <v>1</v>
      </c>
      <c r="L9" s="53" t="b">
        <v>1</v>
      </c>
      <c r="M9" s="53" t="b">
        <v>1</v>
      </c>
      <c r="N9" s="53" t="b">
        <v>1</v>
      </c>
      <c r="O9" s="53" t="b">
        <v>1</v>
      </c>
      <c r="P9" s="53" t="b">
        <v>1</v>
      </c>
      <c r="Q9" s="53" t="b">
        <v>1</v>
      </c>
    </row>
    <row r="10">
      <c r="A10" s="96" t="s">
        <v>887</v>
      </c>
      <c r="B10" s="96" t="s">
        <v>888</v>
      </c>
      <c r="C10" s="97">
        <v>9.873214096E9</v>
      </c>
      <c r="D10" s="97" t="s">
        <v>872</v>
      </c>
      <c r="E10" s="98">
        <f t="shared" si="1"/>
        <v>9</v>
      </c>
      <c r="F10" s="98">
        <f t="shared" si="2"/>
        <v>7</v>
      </c>
      <c r="G10" s="99">
        <f t="shared" si="3"/>
        <v>77.77777778</v>
      </c>
      <c r="H10" s="49"/>
      <c r="I10" s="53" t="b">
        <v>1</v>
      </c>
      <c r="J10" s="53" t="b">
        <v>1</v>
      </c>
      <c r="K10" s="53" t="b">
        <v>1</v>
      </c>
      <c r="L10" s="53" t="b">
        <v>1</v>
      </c>
      <c r="M10" s="53" t="b">
        <v>0</v>
      </c>
      <c r="N10" s="53" t="b">
        <v>0</v>
      </c>
      <c r="O10" s="53" t="b">
        <v>1</v>
      </c>
      <c r="P10" s="53" t="b">
        <v>1</v>
      </c>
      <c r="Q10" s="53" t="b">
        <v>1</v>
      </c>
    </row>
    <row r="11">
      <c r="A11" s="96" t="s">
        <v>889</v>
      </c>
      <c r="B11" s="96" t="s">
        <v>890</v>
      </c>
      <c r="C11" s="97">
        <v>8.434734213E9</v>
      </c>
      <c r="D11" s="97" t="s">
        <v>872</v>
      </c>
      <c r="E11" s="98">
        <f t="shared" si="1"/>
        <v>9</v>
      </c>
      <c r="F11" s="98">
        <f t="shared" si="2"/>
        <v>9</v>
      </c>
      <c r="G11" s="99">
        <f t="shared" si="3"/>
        <v>100</v>
      </c>
      <c r="H11" s="49"/>
      <c r="I11" s="53" t="b">
        <v>1</v>
      </c>
      <c r="J11" s="53" t="b">
        <v>1</v>
      </c>
      <c r="K11" s="53" t="b">
        <v>1</v>
      </c>
      <c r="L11" s="53" t="b">
        <v>1</v>
      </c>
      <c r="M11" s="53" t="b">
        <v>1</v>
      </c>
      <c r="N11" s="53" t="b">
        <v>1</v>
      </c>
      <c r="O11" s="53" t="b">
        <v>1</v>
      </c>
      <c r="P11" s="53" t="b">
        <v>1</v>
      </c>
      <c r="Q11" s="53" t="b">
        <v>1</v>
      </c>
    </row>
    <row r="12">
      <c r="A12" s="96" t="s">
        <v>891</v>
      </c>
      <c r="B12" s="96" t="s">
        <v>892</v>
      </c>
      <c r="C12" s="97">
        <v>8.279863791E9</v>
      </c>
      <c r="D12" s="97" t="s">
        <v>872</v>
      </c>
      <c r="E12" s="98">
        <f t="shared" si="1"/>
        <v>9</v>
      </c>
      <c r="F12" s="98">
        <f t="shared" si="2"/>
        <v>9</v>
      </c>
      <c r="G12" s="99">
        <f t="shared" si="3"/>
        <v>100</v>
      </c>
      <c r="H12" s="49"/>
      <c r="I12" s="53" t="b">
        <v>1</v>
      </c>
      <c r="J12" s="53" t="b">
        <v>1</v>
      </c>
      <c r="K12" s="53" t="b">
        <v>1</v>
      </c>
      <c r="L12" s="53" t="b">
        <v>1</v>
      </c>
      <c r="M12" s="53" t="b">
        <v>1</v>
      </c>
      <c r="N12" s="53" t="b">
        <v>1</v>
      </c>
      <c r="O12" s="53" t="b">
        <v>1</v>
      </c>
      <c r="P12" s="53" t="b">
        <v>1</v>
      </c>
      <c r="Q12" s="53" t="b">
        <v>1</v>
      </c>
    </row>
    <row r="13">
      <c r="A13" s="96" t="s">
        <v>893</v>
      </c>
      <c r="B13" s="96" t="s">
        <v>894</v>
      </c>
      <c r="C13" s="97">
        <v>8.076896039E9</v>
      </c>
      <c r="D13" s="97" t="s">
        <v>872</v>
      </c>
      <c r="E13" s="98">
        <f t="shared" si="1"/>
        <v>9</v>
      </c>
      <c r="F13" s="98">
        <f t="shared" si="2"/>
        <v>7</v>
      </c>
      <c r="G13" s="99">
        <f t="shared" si="3"/>
        <v>77.77777778</v>
      </c>
      <c r="H13" s="49"/>
      <c r="I13" s="53" t="b">
        <v>1</v>
      </c>
      <c r="J13" s="53" t="b">
        <v>1</v>
      </c>
      <c r="K13" s="53" t="b">
        <v>1</v>
      </c>
      <c r="L13" s="53" t="b">
        <v>1</v>
      </c>
      <c r="M13" s="53" t="b">
        <v>0</v>
      </c>
      <c r="N13" s="53" t="b">
        <v>0</v>
      </c>
      <c r="O13" s="53" t="b">
        <v>1</v>
      </c>
      <c r="P13" s="53" t="b">
        <v>1</v>
      </c>
      <c r="Q13" s="53" t="b">
        <v>1</v>
      </c>
    </row>
    <row r="14">
      <c r="A14" s="96" t="s">
        <v>895</v>
      </c>
      <c r="B14" s="96" t="s">
        <v>896</v>
      </c>
      <c r="C14" s="97">
        <v>9.140724248E9</v>
      </c>
      <c r="D14" s="97" t="s">
        <v>872</v>
      </c>
      <c r="E14" s="98">
        <f t="shared" si="1"/>
        <v>9</v>
      </c>
      <c r="F14" s="98">
        <f t="shared" si="2"/>
        <v>9</v>
      </c>
      <c r="G14" s="99">
        <f t="shared" si="3"/>
        <v>100</v>
      </c>
      <c r="H14" s="49"/>
      <c r="I14" s="53" t="b">
        <v>1</v>
      </c>
      <c r="J14" s="53" t="b">
        <v>1</v>
      </c>
      <c r="K14" s="53" t="b">
        <v>1</v>
      </c>
      <c r="L14" s="53" t="b">
        <v>1</v>
      </c>
      <c r="M14" s="53" t="b">
        <v>1</v>
      </c>
      <c r="N14" s="53" t="b">
        <v>1</v>
      </c>
      <c r="O14" s="53" t="b">
        <v>1</v>
      </c>
      <c r="P14" s="53" t="b">
        <v>1</v>
      </c>
      <c r="Q14" s="53" t="b">
        <v>1</v>
      </c>
    </row>
    <row r="15">
      <c r="A15" s="96" t="s">
        <v>897</v>
      </c>
      <c r="B15" s="96" t="s">
        <v>898</v>
      </c>
      <c r="C15" s="97">
        <v>7.742411023E9</v>
      </c>
      <c r="D15" s="97" t="s">
        <v>872</v>
      </c>
      <c r="E15" s="98">
        <f t="shared" si="1"/>
        <v>9</v>
      </c>
      <c r="F15" s="98">
        <f t="shared" si="2"/>
        <v>3</v>
      </c>
      <c r="G15" s="100">
        <f t="shared" si="3"/>
        <v>33.33333333</v>
      </c>
      <c r="H15" s="49"/>
      <c r="I15" s="53" t="b">
        <v>0</v>
      </c>
      <c r="J15" s="53" t="b">
        <v>0</v>
      </c>
      <c r="K15" s="53" t="b">
        <v>1</v>
      </c>
      <c r="L15" s="53" t="b">
        <v>1</v>
      </c>
      <c r="M15" s="53" t="b">
        <v>0</v>
      </c>
      <c r="N15" s="53" t="b">
        <v>0</v>
      </c>
      <c r="O15" s="53" t="b">
        <v>0</v>
      </c>
      <c r="P15" s="53" t="b">
        <v>0</v>
      </c>
      <c r="Q15" s="53" t="b">
        <v>1</v>
      </c>
    </row>
    <row r="16">
      <c r="A16" s="96" t="s">
        <v>899</v>
      </c>
      <c r="B16" s="96" t="s">
        <v>900</v>
      </c>
      <c r="C16" s="97">
        <v>7.428121006E9</v>
      </c>
      <c r="D16" s="97" t="s">
        <v>872</v>
      </c>
      <c r="E16" s="98">
        <f t="shared" si="1"/>
        <v>9</v>
      </c>
      <c r="F16" s="98">
        <f t="shared" si="2"/>
        <v>9</v>
      </c>
      <c r="G16" s="99">
        <f t="shared" si="3"/>
        <v>100</v>
      </c>
      <c r="H16" s="49"/>
      <c r="I16" s="53" t="b">
        <v>1</v>
      </c>
      <c r="J16" s="53" t="b">
        <v>1</v>
      </c>
      <c r="K16" s="53" t="b">
        <v>1</v>
      </c>
      <c r="L16" s="53" t="b">
        <v>1</v>
      </c>
      <c r="M16" s="53" t="b">
        <v>1</v>
      </c>
      <c r="N16" s="53" t="b">
        <v>1</v>
      </c>
      <c r="O16" s="53" t="b">
        <v>1</v>
      </c>
      <c r="P16" s="53" t="b">
        <v>1</v>
      </c>
      <c r="Q16" s="53" t="b">
        <v>1</v>
      </c>
    </row>
    <row r="17">
      <c r="A17" s="96" t="s">
        <v>901</v>
      </c>
      <c r="B17" s="96" t="s">
        <v>902</v>
      </c>
      <c r="C17" s="97">
        <v>8.210863735E9</v>
      </c>
      <c r="D17" s="97" t="s">
        <v>872</v>
      </c>
      <c r="E17" s="98">
        <f t="shared" si="1"/>
        <v>9</v>
      </c>
      <c r="F17" s="98">
        <f t="shared" si="2"/>
        <v>8</v>
      </c>
      <c r="G17" s="99">
        <f t="shared" si="3"/>
        <v>88.88888889</v>
      </c>
      <c r="H17" s="49"/>
      <c r="I17" s="53" t="b">
        <v>1</v>
      </c>
      <c r="J17" s="53" t="b">
        <v>1</v>
      </c>
      <c r="K17" s="53" t="b">
        <v>1</v>
      </c>
      <c r="L17" s="53" t="b">
        <v>1</v>
      </c>
      <c r="M17" s="53" t="b">
        <v>0</v>
      </c>
      <c r="N17" s="53" t="b">
        <v>1</v>
      </c>
      <c r="O17" s="53" t="b">
        <v>1</v>
      </c>
      <c r="P17" s="53" t="b">
        <v>1</v>
      </c>
      <c r="Q17" s="53" t="b">
        <v>1</v>
      </c>
    </row>
    <row r="18">
      <c r="A18" s="96" t="s">
        <v>903</v>
      </c>
      <c r="B18" s="96" t="s">
        <v>904</v>
      </c>
      <c r="C18" s="97">
        <v>7.838323447E9</v>
      </c>
      <c r="D18" s="97" t="s">
        <v>872</v>
      </c>
      <c r="E18" s="98">
        <f t="shared" si="1"/>
        <v>9</v>
      </c>
      <c r="F18" s="98">
        <f t="shared" si="2"/>
        <v>4</v>
      </c>
      <c r="G18" s="100">
        <f t="shared" si="3"/>
        <v>44.44444444</v>
      </c>
      <c r="H18" s="49"/>
      <c r="I18" s="53" t="b">
        <v>0</v>
      </c>
      <c r="J18" s="53" t="b">
        <v>0</v>
      </c>
      <c r="K18" s="53" t="b">
        <v>0</v>
      </c>
      <c r="L18" s="53" t="b">
        <v>0</v>
      </c>
      <c r="M18" s="53" t="b">
        <v>1</v>
      </c>
      <c r="N18" s="53" t="b">
        <v>1</v>
      </c>
      <c r="O18" s="53" t="b">
        <v>1</v>
      </c>
      <c r="P18" s="53" t="b">
        <v>1</v>
      </c>
      <c r="Q18" s="53" t="b">
        <v>0</v>
      </c>
    </row>
    <row r="19">
      <c r="A19" s="96" t="s">
        <v>903</v>
      </c>
      <c r="B19" s="96" t="s">
        <v>905</v>
      </c>
      <c r="C19" s="97">
        <v>9.717812164E9</v>
      </c>
      <c r="D19" s="97" t="s">
        <v>872</v>
      </c>
      <c r="E19" s="98">
        <f t="shared" si="1"/>
        <v>9</v>
      </c>
      <c r="F19" s="98">
        <f t="shared" si="2"/>
        <v>1</v>
      </c>
      <c r="G19" s="100">
        <f t="shared" si="3"/>
        <v>11.11111111</v>
      </c>
      <c r="H19" s="49"/>
      <c r="I19" s="53" t="b">
        <v>0</v>
      </c>
      <c r="J19" s="53" t="b">
        <v>0</v>
      </c>
      <c r="K19" s="53" t="b">
        <v>0</v>
      </c>
      <c r="L19" s="53" t="b">
        <v>0</v>
      </c>
      <c r="M19" s="53" t="b">
        <v>0</v>
      </c>
      <c r="N19" s="53" t="b">
        <v>0</v>
      </c>
      <c r="O19" s="53" t="b">
        <v>1</v>
      </c>
      <c r="P19" s="53" t="b">
        <v>0</v>
      </c>
      <c r="Q19" s="53" t="b">
        <v>0</v>
      </c>
    </row>
    <row r="20">
      <c r="A20" s="96" t="s">
        <v>906</v>
      </c>
      <c r="B20" s="96" t="s">
        <v>907</v>
      </c>
      <c r="C20" s="97">
        <v>8.447413961E9</v>
      </c>
      <c r="D20" s="97" t="s">
        <v>872</v>
      </c>
      <c r="E20" s="98">
        <f t="shared" si="1"/>
        <v>9</v>
      </c>
      <c r="F20" s="98">
        <f t="shared" si="2"/>
        <v>6</v>
      </c>
      <c r="G20" s="100">
        <f t="shared" si="3"/>
        <v>66.66666667</v>
      </c>
      <c r="H20" s="49"/>
      <c r="I20" s="53" t="b">
        <v>0</v>
      </c>
      <c r="J20" s="53" t="b">
        <v>1</v>
      </c>
      <c r="K20" s="53" t="b">
        <v>1</v>
      </c>
      <c r="L20" s="53" t="b">
        <v>1</v>
      </c>
      <c r="M20" s="53" t="b">
        <v>0</v>
      </c>
      <c r="N20" s="53" t="b">
        <v>0</v>
      </c>
      <c r="O20" s="53" t="b">
        <v>1</v>
      </c>
      <c r="P20" s="53" t="b">
        <v>1</v>
      </c>
      <c r="Q20" s="53" t="b">
        <v>1</v>
      </c>
    </row>
    <row r="21">
      <c r="A21" s="96" t="s">
        <v>908</v>
      </c>
      <c r="B21" s="96" t="s">
        <v>909</v>
      </c>
      <c r="C21" s="97">
        <v>9.871102347E9</v>
      </c>
      <c r="D21" s="97" t="s">
        <v>872</v>
      </c>
      <c r="E21" s="98">
        <f t="shared" si="1"/>
        <v>9</v>
      </c>
      <c r="F21" s="98">
        <f t="shared" si="2"/>
        <v>9</v>
      </c>
      <c r="G21" s="99">
        <f t="shared" si="3"/>
        <v>100</v>
      </c>
      <c r="H21" s="49"/>
      <c r="I21" s="53" t="b">
        <v>1</v>
      </c>
      <c r="J21" s="53" t="b">
        <v>1</v>
      </c>
      <c r="K21" s="53" t="b">
        <v>1</v>
      </c>
      <c r="L21" s="53" t="b">
        <v>1</v>
      </c>
      <c r="M21" s="53" t="b">
        <v>1</v>
      </c>
      <c r="N21" s="53" t="b">
        <v>1</v>
      </c>
      <c r="O21" s="53" t="b">
        <v>1</v>
      </c>
      <c r="P21" s="53" t="b">
        <v>1</v>
      </c>
      <c r="Q21" s="53" t="b">
        <v>1</v>
      </c>
    </row>
    <row r="22">
      <c r="A22" s="101" t="s">
        <v>910</v>
      </c>
      <c r="B22" s="101" t="s">
        <v>911</v>
      </c>
      <c r="C22" s="102">
        <v>6.262108888E9</v>
      </c>
      <c r="D22" s="102" t="s">
        <v>22</v>
      </c>
      <c r="E22" s="103">
        <f t="shared" si="1"/>
        <v>9</v>
      </c>
      <c r="F22" s="103">
        <f t="shared" si="2"/>
        <v>7</v>
      </c>
      <c r="G22" s="99">
        <f t="shared" si="3"/>
        <v>77.77777778</v>
      </c>
      <c r="H22" s="41"/>
      <c r="I22" s="58" t="b">
        <v>0</v>
      </c>
      <c r="J22" s="58" t="b">
        <v>1</v>
      </c>
      <c r="K22" s="58" t="b">
        <v>0</v>
      </c>
      <c r="L22" s="58" t="b">
        <v>1</v>
      </c>
      <c r="M22" s="58" t="b">
        <v>1</v>
      </c>
      <c r="N22" s="58" t="b">
        <v>1</v>
      </c>
      <c r="O22" s="58" t="b">
        <v>1</v>
      </c>
      <c r="P22" s="58" t="b">
        <v>1</v>
      </c>
      <c r="Q22" s="58" t="b">
        <v>1</v>
      </c>
    </row>
    <row r="23">
      <c r="A23" s="101" t="s">
        <v>912</v>
      </c>
      <c r="B23" s="101" t="s">
        <v>913</v>
      </c>
      <c r="C23" s="102">
        <v>7.067424161E9</v>
      </c>
      <c r="D23" s="102" t="s">
        <v>22</v>
      </c>
      <c r="E23" s="103">
        <f t="shared" si="1"/>
        <v>9</v>
      </c>
      <c r="F23" s="103">
        <f t="shared" si="2"/>
        <v>8</v>
      </c>
      <c r="G23" s="99">
        <f t="shared" si="3"/>
        <v>88.88888889</v>
      </c>
      <c r="H23" s="41"/>
      <c r="I23" s="58" t="b">
        <v>1</v>
      </c>
      <c r="J23" s="58" t="b">
        <v>1</v>
      </c>
      <c r="K23" s="58" t="b">
        <v>0</v>
      </c>
      <c r="L23" s="58" t="b">
        <v>1</v>
      </c>
      <c r="M23" s="58" t="b">
        <v>1</v>
      </c>
      <c r="N23" s="58" t="b">
        <v>1</v>
      </c>
      <c r="O23" s="58" t="b">
        <v>1</v>
      </c>
      <c r="P23" s="58" t="b">
        <v>1</v>
      </c>
      <c r="Q23" s="58" t="b">
        <v>1</v>
      </c>
    </row>
    <row r="24">
      <c r="A24" s="101" t="s">
        <v>914</v>
      </c>
      <c r="B24" s="101" t="s">
        <v>915</v>
      </c>
      <c r="C24" s="102">
        <v>9.893951589E9</v>
      </c>
      <c r="D24" s="102" t="s">
        <v>22</v>
      </c>
      <c r="E24" s="103">
        <f t="shared" si="1"/>
        <v>9</v>
      </c>
      <c r="F24" s="103">
        <f t="shared" si="2"/>
        <v>9</v>
      </c>
      <c r="G24" s="99">
        <f t="shared" si="3"/>
        <v>100</v>
      </c>
      <c r="H24" s="41"/>
      <c r="I24" s="58" t="b">
        <v>1</v>
      </c>
      <c r="J24" s="58" t="b">
        <v>1</v>
      </c>
      <c r="K24" s="58" t="b">
        <v>1</v>
      </c>
      <c r="L24" s="58" t="b">
        <v>1</v>
      </c>
      <c r="M24" s="58" t="b">
        <v>1</v>
      </c>
      <c r="N24" s="58" t="b">
        <v>1</v>
      </c>
      <c r="O24" s="58" t="b">
        <v>1</v>
      </c>
      <c r="P24" s="58" t="b">
        <v>1</v>
      </c>
      <c r="Q24" s="58" t="b">
        <v>1</v>
      </c>
    </row>
    <row r="25">
      <c r="A25" s="101" t="s">
        <v>916</v>
      </c>
      <c r="B25" s="101" t="s">
        <v>917</v>
      </c>
      <c r="C25" s="102">
        <v>7.987850184E9</v>
      </c>
      <c r="D25" s="102" t="s">
        <v>22</v>
      </c>
      <c r="E25" s="103">
        <f t="shared" si="1"/>
        <v>9</v>
      </c>
      <c r="F25" s="103">
        <f t="shared" si="2"/>
        <v>7</v>
      </c>
      <c r="G25" s="99">
        <f t="shared" si="3"/>
        <v>77.77777778</v>
      </c>
      <c r="H25" s="41"/>
      <c r="I25" s="58" t="b">
        <v>1</v>
      </c>
      <c r="J25" s="58" t="b">
        <v>1</v>
      </c>
      <c r="K25" s="58" t="b">
        <v>0</v>
      </c>
      <c r="L25" s="58" t="b">
        <v>1</v>
      </c>
      <c r="M25" s="58" t="b">
        <v>1</v>
      </c>
      <c r="N25" s="58" t="b">
        <v>1</v>
      </c>
      <c r="O25" s="58" t="b">
        <v>1</v>
      </c>
      <c r="P25" s="58" t="b">
        <v>0</v>
      </c>
      <c r="Q25" s="58" t="b">
        <v>1</v>
      </c>
    </row>
    <row r="26">
      <c r="A26" s="101" t="s">
        <v>918</v>
      </c>
      <c r="B26" s="101" t="s">
        <v>919</v>
      </c>
      <c r="C26" s="102">
        <v>8.770795662E9</v>
      </c>
      <c r="D26" s="102" t="s">
        <v>22</v>
      </c>
      <c r="E26" s="103">
        <f t="shared" si="1"/>
        <v>9</v>
      </c>
      <c r="F26" s="103">
        <f t="shared" si="2"/>
        <v>8</v>
      </c>
      <c r="G26" s="99">
        <f t="shared" si="3"/>
        <v>88.88888889</v>
      </c>
      <c r="H26" s="41"/>
      <c r="I26" s="58" t="b">
        <v>1</v>
      </c>
      <c r="J26" s="58" t="b">
        <v>1</v>
      </c>
      <c r="K26" s="58" t="b">
        <v>0</v>
      </c>
      <c r="L26" s="58" t="b">
        <v>1</v>
      </c>
      <c r="M26" s="58" t="b">
        <v>1</v>
      </c>
      <c r="N26" s="58" t="b">
        <v>1</v>
      </c>
      <c r="O26" s="58" t="b">
        <v>1</v>
      </c>
      <c r="P26" s="58" t="b">
        <v>1</v>
      </c>
      <c r="Q26" s="58" t="b">
        <v>1</v>
      </c>
    </row>
    <row r="27">
      <c r="A27" s="101" t="s">
        <v>920</v>
      </c>
      <c r="B27" s="101" t="s">
        <v>921</v>
      </c>
      <c r="C27" s="102">
        <v>7.378648469E9</v>
      </c>
      <c r="D27" s="102" t="s">
        <v>22</v>
      </c>
      <c r="E27" s="103">
        <f t="shared" si="1"/>
        <v>6</v>
      </c>
      <c r="F27" s="103">
        <f t="shared" si="2"/>
        <v>1</v>
      </c>
      <c r="G27" s="100">
        <f t="shared" si="3"/>
        <v>16.66666667</v>
      </c>
      <c r="H27" s="41"/>
      <c r="I27" s="58" t="b">
        <v>0</v>
      </c>
      <c r="J27" s="58" t="b">
        <v>1</v>
      </c>
      <c r="K27" s="58" t="b">
        <v>0</v>
      </c>
      <c r="L27" s="58" t="b">
        <v>0</v>
      </c>
      <c r="M27" s="58" t="b">
        <v>0</v>
      </c>
      <c r="N27" s="58" t="b">
        <v>0</v>
      </c>
      <c r="O27" s="41"/>
      <c r="P27" s="41"/>
      <c r="Q27" s="41"/>
    </row>
    <row r="28">
      <c r="A28" s="101" t="s">
        <v>922</v>
      </c>
      <c r="B28" s="101" t="s">
        <v>923</v>
      </c>
      <c r="C28" s="102">
        <v>6.264297573E9</v>
      </c>
      <c r="D28" s="102" t="s">
        <v>22</v>
      </c>
      <c r="E28" s="103">
        <f t="shared" si="1"/>
        <v>9</v>
      </c>
      <c r="F28" s="103">
        <f t="shared" si="2"/>
        <v>2</v>
      </c>
      <c r="G28" s="100">
        <f t="shared" si="3"/>
        <v>22.22222222</v>
      </c>
      <c r="H28" s="41"/>
      <c r="I28" s="58" t="b">
        <v>0</v>
      </c>
      <c r="J28" s="58" t="b">
        <v>0</v>
      </c>
      <c r="K28" s="58" t="b">
        <v>0</v>
      </c>
      <c r="L28" s="58" t="b">
        <v>1</v>
      </c>
      <c r="M28" s="58" t="b">
        <v>0</v>
      </c>
      <c r="N28" s="58" t="b">
        <v>0</v>
      </c>
      <c r="O28" s="58" t="b">
        <v>1</v>
      </c>
      <c r="P28" s="58" t="b">
        <v>0</v>
      </c>
      <c r="Q28" s="58" t="b">
        <v>0</v>
      </c>
    </row>
    <row r="29">
      <c r="A29" s="101" t="s">
        <v>924</v>
      </c>
      <c r="B29" s="101" t="s">
        <v>925</v>
      </c>
      <c r="C29" s="102">
        <v>7.869329802E9</v>
      </c>
      <c r="D29" s="102" t="s">
        <v>22</v>
      </c>
      <c r="E29" s="103">
        <f t="shared" si="1"/>
        <v>2</v>
      </c>
      <c r="F29" s="103">
        <f t="shared" si="2"/>
        <v>1</v>
      </c>
      <c r="G29" s="100">
        <f t="shared" si="3"/>
        <v>50</v>
      </c>
      <c r="H29" s="41"/>
      <c r="I29" s="58" t="b">
        <v>0</v>
      </c>
      <c r="J29" s="58" t="b">
        <v>1</v>
      </c>
      <c r="K29" s="41"/>
      <c r="L29" s="41"/>
      <c r="M29" s="41"/>
      <c r="N29" s="41"/>
      <c r="O29" s="41"/>
      <c r="P29" s="41"/>
      <c r="Q29" s="41"/>
    </row>
    <row r="30">
      <c r="A30" s="101" t="s">
        <v>926</v>
      </c>
      <c r="B30" s="101" t="s">
        <v>927</v>
      </c>
      <c r="C30" s="102">
        <v>7.024295946E9</v>
      </c>
      <c r="D30" s="102" t="s">
        <v>22</v>
      </c>
      <c r="E30" s="103">
        <f t="shared" si="1"/>
        <v>9</v>
      </c>
      <c r="F30" s="103">
        <f t="shared" si="2"/>
        <v>4</v>
      </c>
      <c r="G30" s="100">
        <f t="shared" si="3"/>
        <v>44.44444444</v>
      </c>
      <c r="H30" s="41"/>
      <c r="I30" s="58" t="b">
        <v>1</v>
      </c>
      <c r="J30" s="58" t="b">
        <v>1</v>
      </c>
      <c r="K30" s="58" t="b">
        <v>1</v>
      </c>
      <c r="L30" s="58" t="b">
        <v>1</v>
      </c>
      <c r="M30" s="58" t="b">
        <v>0</v>
      </c>
      <c r="N30" s="58" t="b">
        <v>0</v>
      </c>
      <c r="O30" s="58" t="b">
        <v>0</v>
      </c>
      <c r="P30" s="58" t="b">
        <v>0</v>
      </c>
      <c r="Q30" s="58" t="b">
        <v>0</v>
      </c>
    </row>
    <row r="31">
      <c r="A31" s="101" t="s">
        <v>928</v>
      </c>
      <c r="B31" s="101" t="s">
        <v>929</v>
      </c>
      <c r="C31" s="102">
        <v>9.806870726E9</v>
      </c>
      <c r="D31" s="102" t="s">
        <v>22</v>
      </c>
      <c r="E31" s="103">
        <f t="shared" si="1"/>
        <v>9</v>
      </c>
      <c r="F31" s="103">
        <f t="shared" si="2"/>
        <v>9</v>
      </c>
      <c r="G31" s="99">
        <f t="shared" si="3"/>
        <v>100</v>
      </c>
      <c r="H31" s="41"/>
      <c r="I31" s="58" t="b">
        <v>1</v>
      </c>
      <c r="J31" s="58" t="b">
        <v>1</v>
      </c>
      <c r="K31" s="58" t="b">
        <v>1</v>
      </c>
      <c r="L31" s="58" t="b">
        <v>1</v>
      </c>
      <c r="M31" s="58" t="b">
        <v>1</v>
      </c>
      <c r="N31" s="58" t="b">
        <v>1</v>
      </c>
      <c r="O31" s="58" t="b">
        <v>1</v>
      </c>
      <c r="P31" s="58" t="b">
        <v>1</v>
      </c>
      <c r="Q31" s="58" t="b">
        <v>1</v>
      </c>
    </row>
    <row r="32">
      <c r="A32" s="101" t="s">
        <v>930</v>
      </c>
      <c r="B32" s="101" t="s">
        <v>931</v>
      </c>
      <c r="C32" s="104">
        <v>7.805941121E9</v>
      </c>
      <c r="D32" s="102" t="s">
        <v>22</v>
      </c>
      <c r="E32" s="103">
        <f t="shared" si="1"/>
        <v>8</v>
      </c>
      <c r="F32" s="103">
        <f t="shared" si="2"/>
        <v>6</v>
      </c>
      <c r="G32" s="99">
        <f t="shared" si="3"/>
        <v>75</v>
      </c>
      <c r="H32" s="41"/>
      <c r="I32" s="58" t="b">
        <v>1</v>
      </c>
      <c r="J32" s="58" t="b">
        <v>1</v>
      </c>
      <c r="K32" s="58" t="b">
        <v>1</v>
      </c>
      <c r="L32" s="58" t="b">
        <v>0</v>
      </c>
      <c r="M32" s="58" t="b">
        <v>1</v>
      </c>
      <c r="N32" s="58" t="b">
        <v>1</v>
      </c>
      <c r="O32" s="58" t="b">
        <v>1</v>
      </c>
      <c r="P32" s="58" t="b">
        <v>0</v>
      </c>
      <c r="Q32" s="41"/>
    </row>
    <row r="33">
      <c r="A33" s="101" t="s">
        <v>932</v>
      </c>
      <c r="B33" s="101"/>
      <c r="C33" s="101"/>
      <c r="D33" s="102" t="s">
        <v>22</v>
      </c>
      <c r="E33" s="103">
        <f t="shared" si="1"/>
        <v>6</v>
      </c>
      <c r="F33" s="103">
        <f t="shared" si="2"/>
        <v>1</v>
      </c>
      <c r="G33" s="100">
        <f t="shared" si="3"/>
        <v>16.66666667</v>
      </c>
      <c r="H33" s="41"/>
      <c r="I33" s="58" t="b">
        <v>0</v>
      </c>
      <c r="J33" s="58" t="b">
        <v>0</v>
      </c>
      <c r="K33" s="58" t="b">
        <v>0</v>
      </c>
      <c r="L33" s="58" t="b">
        <v>0</v>
      </c>
      <c r="M33" s="58" t="b">
        <v>0</v>
      </c>
      <c r="N33" s="58" t="b">
        <v>1</v>
      </c>
      <c r="O33" s="41"/>
      <c r="P33" s="41"/>
      <c r="Q33" s="41"/>
    </row>
    <row r="34">
      <c r="A34" s="101" t="s">
        <v>933</v>
      </c>
      <c r="B34" s="101" t="s">
        <v>934</v>
      </c>
      <c r="C34" s="102">
        <v>9.981720238E9</v>
      </c>
      <c r="D34" s="102" t="s">
        <v>22</v>
      </c>
      <c r="E34" s="103">
        <f t="shared" si="1"/>
        <v>9</v>
      </c>
      <c r="F34" s="103">
        <f t="shared" si="2"/>
        <v>8</v>
      </c>
      <c r="G34" s="99">
        <f t="shared" si="3"/>
        <v>88.88888889</v>
      </c>
      <c r="H34" s="41"/>
      <c r="I34" s="58" t="b">
        <v>1</v>
      </c>
      <c r="J34" s="58" t="b">
        <v>1</v>
      </c>
      <c r="K34" s="58" t="b">
        <v>1</v>
      </c>
      <c r="L34" s="58" t="b">
        <v>1</v>
      </c>
      <c r="M34" s="58" t="b">
        <v>0</v>
      </c>
      <c r="N34" s="58" t="b">
        <v>1</v>
      </c>
      <c r="O34" s="58" t="b">
        <v>1</v>
      </c>
      <c r="P34" s="58" t="b">
        <v>1</v>
      </c>
      <c r="Q34" s="58" t="b">
        <v>1</v>
      </c>
    </row>
    <row r="35">
      <c r="A35" s="101" t="s">
        <v>935</v>
      </c>
      <c r="B35" s="101" t="s">
        <v>936</v>
      </c>
      <c r="C35" s="102">
        <v>8.085788897E9</v>
      </c>
      <c r="D35" s="102" t="s">
        <v>22</v>
      </c>
      <c r="E35" s="103">
        <f t="shared" si="1"/>
        <v>8</v>
      </c>
      <c r="F35" s="103">
        <f t="shared" si="2"/>
        <v>7</v>
      </c>
      <c r="G35" s="99">
        <f t="shared" si="3"/>
        <v>87.5</v>
      </c>
      <c r="H35" s="41"/>
      <c r="I35" s="58" t="b">
        <v>1</v>
      </c>
      <c r="J35" s="58" t="b">
        <v>1</v>
      </c>
      <c r="K35" s="58" t="b">
        <v>0</v>
      </c>
      <c r="L35" s="58" t="b">
        <v>1</v>
      </c>
      <c r="M35" s="58" t="b">
        <v>1</v>
      </c>
      <c r="N35" s="58" t="b">
        <v>1</v>
      </c>
      <c r="O35" s="58" t="b">
        <v>1</v>
      </c>
      <c r="P35" s="58" t="b">
        <v>1</v>
      </c>
      <c r="Q35" s="41"/>
    </row>
    <row r="36">
      <c r="A36" s="101" t="s">
        <v>937</v>
      </c>
      <c r="B36" s="101" t="s">
        <v>938</v>
      </c>
      <c r="C36" s="102">
        <v>6.261198089E9</v>
      </c>
      <c r="D36" s="102" t="s">
        <v>22</v>
      </c>
      <c r="E36" s="103">
        <f t="shared" si="1"/>
        <v>9</v>
      </c>
      <c r="F36" s="103">
        <f t="shared" si="2"/>
        <v>4</v>
      </c>
      <c r="G36" s="100">
        <f t="shared" si="3"/>
        <v>44.44444444</v>
      </c>
      <c r="H36" s="41"/>
      <c r="I36" s="58" t="b">
        <v>1</v>
      </c>
      <c r="J36" s="58" t="b">
        <v>1</v>
      </c>
      <c r="K36" s="58" t="b">
        <v>1</v>
      </c>
      <c r="L36" s="58" t="b">
        <v>1</v>
      </c>
      <c r="M36" s="58" t="b">
        <v>0</v>
      </c>
      <c r="N36" s="58" t="b">
        <v>0</v>
      </c>
      <c r="O36" s="58" t="b">
        <v>0</v>
      </c>
      <c r="P36" s="58" t="b">
        <v>0</v>
      </c>
      <c r="Q36" s="58" t="b">
        <v>0</v>
      </c>
    </row>
    <row r="37">
      <c r="A37" s="101" t="s">
        <v>939</v>
      </c>
      <c r="B37" s="101" t="s">
        <v>940</v>
      </c>
      <c r="C37" s="102">
        <v>8.357053589E9</v>
      </c>
      <c r="D37" s="102" t="s">
        <v>22</v>
      </c>
      <c r="E37" s="103">
        <f t="shared" si="1"/>
        <v>9</v>
      </c>
      <c r="F37" s="103">
        <f t="shared" si="2"/>
        <v>0</v>
      </c>
      <c r="G37" s="100">
        <f t="shared" si="3"/>
        <v>0</v>
      </c>
      <c r="H37" s="41"/>
      <c r="I37" s="58" t="b">
        <v>0</v>
      </c>
      <c r="J37" s="58" t="b">
        <v>0</v>
      </c>
      <c r="K37" s="58" t="b">
        <v>0</v>
      </c>
      <c r="L37" s="58" t="b">
        <v>0</v>
      </c>
      <c r="M37" s="58" t="b">
        <v>0</v>
      </c>
      <c r="N37" s="58" t="b">
        <v>0</v>
      </c>
      <c r="O37" s="58" t="b">
        <v>0</v>
      </c>
      <c r="P37" s="58" t="b">
        <v>0</v>
      </c>
      <c r="Q37" s="58" t="b">
        <v>0</v>
      </c>
    </row>
    <row r="38">
      <c r="A38" s="101" t="s">
        <v>941</v>
      </c>
      <c r="B38" s="101" t="s">
        <v>942</v>
      </c>
      <c r="C38" s="102">
        <v>6.26038358E9</v>
      </c>
      <c r="D38" s="102" t="s">
        <v>22</v>
      </c>
      <c r="E38" s="103">
        <f t="shared" si="1"/>
        <v>9</v>
      </c>
      <c r="F38" s="103">
        <f t="shared" si="2"/>
        <v>8</v>
      </c>
      <c r="G38" s="99">
        <f t="shared" si="3"/>
        <v>88.88888889</v>
      </c>
      <c r="H38" s="41"/>
      <c r="I38" s="58" t="b">
        <v>1</v>
      </c>
      <c r="J38" s="58" t="b">
        <v>1</v>
      </c>
      <c r="K38" s="58" t="b">
        <v>0</v>
      </c>
      <c r="L38" s="58" t="b">
        <v>1</v>
      </c>
      <c r="M38" s="58" t="b">
        <v>1</v>
      </c>
      <c r="N38" s="58" t="b">
        <v>1</v>
      </c>
      <c r="O38" s="58" t="b">
        <v>1</v>
      </c>
      <c r="P38" s="58" t="b">
        <v>1</v>
      </c>
      <c r="Q38" s="58" t="b">
        <v>1</v>
      </c>
    </row>
    <row r="39">
      <c r="A39" s="101" t="s">
        <v>943</v>
      </c>
      <c r="B39" s="101" t="s">
        <v>944</v>
      </c>
      <c r="C39" s="102">
        <v>8.827579584E9</v>
      </c>
      <c r="D39" s="102" t="s">
        <v>22</v>
      </c>
      <c r="E39" s="103">
        <f t="shared" si="1"/>
        <v>8</v>
      </c>
      <c r="F39" s="103">
        <f t="shared" si="2"/>
        <v>6</v>
      </c>
      <c r="G39" s="99">
        <f t="shared" si="3"/>
        <v>75</v>
      </c>
      <c r="H39" s="41"/>
      <c r="I39" s="58" t="b">
        <v>1</v>
      </c>
      <c r="J39" s="58" t="b">
        <v>1</v>
      </c>
      <c r="K39" s="58" t="b">
        <v>1</v>
      </c>
      <c r="L39" s="58" t="b">
        <v>1</v>
      </c>
      <c r="M39" s="58" t="b">
        <v>1</v>
      </c>
      <c r="N39" s="58" t="b">
        <v>1</v>
      </c>
      <c r="O39" s="58" t="b">
        <v>0</v>
      </c>
      <c r="P39" s="58" t="b">
        <v>0</v>
      </c>
      <c r="Q39" s="41"/>
    </row>
    <row r="40">
      <c r="A40" s="101" t="s">
        <v>945</v>
      </c>
      <c r="B40" s="101" t="s">
        <v>946</v>
      </c>
      <c r="C40" s="102">
        <v>6.266196045E9</v>
      </c>
      <c r="D40" s="102" t="s">
        <v>22</v>
      </c>
      <c r="E40" s="103">
        <f t="shared" si="1"/>
        <v>9</v>
      </c>
      <c r="F40" s="103">
        <f t="shared" si="2"/>
        <v>7</v>
      </c>
      <c r="G40" s="99">
        <f t="shared" si="3"/>
        <v>77.77777778</v>
      </c>
      <c r="H40" s="41"/>
      <c r="I40" s="58" t="b">
        <v>1</v>
      </c>
      <c r="J40" s="58" t="b">
        <v>1</v>
      </c>
      <c r="K40" s="58" t="b">
        <v>0</v>
      </c>
      <c r="L40" s="58" t="b">
        <v>0</v>
      </c>
      <c r="M40" s="58" t="b">
        <v>1</v>
      </c>
      <c r="N40" s="58" t="b">
        <v>1</v>
      </c>
      <c r="O40" s="58" t="b">
        <v>1</v>
      </c>
      <c r="P40" s="58" t="b">
        <v>1</v>
      </c>
      <c r="Q40" s="58" t="b">
        <v>1</v>
      </c>
    </row>
    <row r="41">
      <c r="A41" s="101" t="s">
        <v>947</v>
      </c>
      <c r="B41" s="101" t="s">
        <v>948</v>
      </c>
      <c r="C41" s="102">
        <v>7.877637393E9</v>
      </c>
      <c r="D41" s="102" t="s">
        <v>22</v>
      </c>
      <c r="E41" s="103">
        <f t="shared" si="1"/>
        <v>9</v>
      </c>
      <c r="F41" s="103">
        <f t="shared" si="2"/>
        <v>2</v>
      </c>
      <c r="G41" s="100">
        <f t="shared" si="3"/>
        <v>22.22222222</v>
      </c>
      <c r="H41" s="41"/>
      <c r="I41" s="58" t="b">
        <v>0</v>
      </c>
      <c r="J41" s="58" t="b">
        <v>1</v>
      </c>
      <c r="K41" s="58" t="b">
        <v>0</v>
      </c>
      <c r="L41" s="58" t="b">
        <v>0</v>
      </c>
      <c r="M41" s="58" t="b">
        <v>0</v>
      </c>
      <c r="N41" s="58" t="b">
        <v>0</v>
      </c>
      <c r="O41" s="58" t="b">
        <v>0</v>
      </c>
      <c r="P41" s="58" t="b">
        <v>0</v>
      </c>
      <c r="Q41" s="58" t="b">
        <v>1</v>
      </c>
    </row>
    <row r="42">
      <c r="A42" s="101" t="s">
        <v>949</v>
      </c>
      <c r="B42" s="101" t="s">
        <v>950</v>
      </c>
      <c r="C42" s="102">
        <v>7.400619377E9</v>
      </c>
      <c r="D42" s="102" t="s">
        <v>22</v>
      </c>
      <c r="E42" s="103">
        <f t="shared" si="1"/>
        <v>7</v>
      </c>
      <c r="F42" s="103">
        <f t="shared" si="2"/>
        <v>2</v>
      </c>
      <c r="G42" s="100">
        <f t="shared" si="3"/>
        <v>28.57142857</v>
      </c>
      <c r="H42" s="41"/>
      <c r="I42" s="58" t="b">
        <v>0</v>
      </c>
      <c r="J42" s="58" t="b">
        <v>0</v>
      </c>
      <c r="K42" s="58" t="b">
        <v>0</v>
      </c>
      <c r="L42" s="58" t="b">
        <v>0</v>
      </c>
      <c r="M42" s="58" t="b">
        <v>0</v>
      </c>
      <c r="N42" s="41"/>
      <c r="O42" s="58" t="b">
        <v>1</v>
      </c>
      <c r="P42" s="41"/>
      <c r="Q42" s="58" t="b">
        <v>1</v>
      </c>
    </row>
    <row r="43">
      <c r="A43" s="101" t="s">
        <v>951</v>
      </c>
      <c r="B43" s="101" t="s">
        <v>952</v>
      </c>
      <c r="C43" s="102">
        <v>8.223007507E9</v>
      </c>
      <c r="D43" s="102" t="s">
        <v>22</v>
      </c>
      <c r="E43" s="103">
        <f t="shared" si="1"/>
        <v>9</v>
      </c>
      <c r="F43" s="103">
        <f t="shared" si="2"/>
        <v>9</v>
      </c>
      <c r="G43" s="99">
        <f t="shared" si="3"/>
        <v>100</v>
      </c>
      <c r="H43" s="41"/>
      <c r="I43" s="58" t="b">
        <v>1</v>
      </c>
      <c r="J43" s="58" t="b">
        <v>1</v>
      </c>
      <c r="K43" s="58" t="b">
        <v>1</v>
      </c>
      <c r="L43" s="58" t="b">
        <v>1</v>
      </c>
      <c r="M43" s="58" t="b">
        <v>1</v>
      </c>
      <c r="N43" s="58" t="b">
        <v>1</v>
      </c>
      <c r="O43" s="58" t="b">
        <v>1</v>
      </c>
      <c r="P43" s="58" t="b">
        <v>1</v>
      </c>
      <c r="Q43" s="58" t="b">
        <v>1</v>
      </c>
    </row>
    <row r="44">
      <c r="A44" s="101" t="s">
        <v>953</v>
      </c>
      <c r="B44" s="101" t="s">
        <v>954</v>
      </c>
      <c r="C44" s="102">
        <v>9.993201201E9</v>
      </c>
      <c r="D44" s="102" t="s">
        <v>22</v>
      </c>
      <c r="E44" s="103">
        <f t="shared" si="1"/>
        <v>9</v>
      </c>
      <c r="F44" s="103">
        <f t="shared" si="2"/>
        <v>8</v>
      </c>
      <c r="G44" s="99">
        <f t="shared" si="3"/>
        <v>88.88888889</v>
      </c>
      <c r="H44" s="41"/>
      <c r="I44" s="58" t="b">
        <v>1</v>
      </c>
      <c r="J44" s="58" t="b">
        <v>1</v>
      </c>
      <c r="K44" s="58" t="b">
        <v>1</v>
      </c>
      <c r="L44" s="58" t="b">
        <v>1</v>
      </c>
      <c r="M44" s="58" t="b">
        <v>1</v>
      </c>
      <c r="N44" s="58" t="b">
        <v>1</v>
      </c>
      <c r="O44" s="58" t="b">
        <v>1</v>
      </c>
      <c r="P44" s="58" t="b">
        <v>0</v>
      </c>
      <c r="Q44" s="58" t="b">
        <v>1</v>
      </c>
    </row>
    <row r="45">
      <c r="A45" s="101" t="s">
        <v>955</v>
      </c>
      <c r="B45" s="101" t="s">
        <v>956</v>
      </c>
      <c r="C45" s="102">
        <v>6.265498804E9</v>
      </c>
      <c r="D45" s="102" t="s">
        <v>22</v>
      </c>
      <c r="E45" s="103">
        <f t="shared" si="1"/>
        <v>9</v>
      </c>
      <c r="F45" s="103">
        <f t="shared" si="2"/>
        <v>3</v>
      </c>
      <c r="G45" s="100">
        <f t="shared" si="3"/>
        <v>33.33333333</v>
      </c>
      <c r="H45" s="41"/>
      <c r="I45" s="58" t="b">
        <v>0</v>
      </c>
      <c r="J45" s="58" t="b">
        <v>1</v>
      </c>
      <c r="K45" s="58" t="b">
        <v>1</v>
      </c>
      <c r="L45" s="58" t="b">
        <v>1</v>
      </c>
      <c r="M45" s="58" t="b">
        <v>0</v>
      </c>
      <c r="N45" s="58" t="b">
        <v>0</v>
      </c>
      <c r="O45" s="58" t="b">
        <v>0</v>
      </c>
      <c r="P45" s="58" t="b">
        <v>0</v>
      </c>
      <c r="Q45" s="58" t="b">
        <v>0</v>
      </c>
    </row>
    <row r="46">
      <c r="A46" s="101" t="s">
        <v>957</v>
      </c>
      <c r="B46" s="101" t="s">
        <v>958</v>
      </c>
      <c r="C46" s="102">
        <v>6.26519954E9</v>
      </c>
      <c r="D46" s="102" t="s">
        <v>22</v>
      </c>
      <c r="E46" s="103">
        <f t="shared" si="1"/>
        <v>9</v>
      </c>
      <c r="F46" s="103">
        <f t="shared" si="2"/>
        <v>8</v>
      </c>
      <c r="G46" s="99">
        <f t="shared" si="3"/>
        <v>88.88888889</v>
      </c>
      <c r="H46" s="41"/>
      <c r="I46" s="58" t="b">
        <v>1</v>
      </c>
      <c r="J46" s="58" t="b">
        <v>1</v>
      </c>
      <c r="K46" s="58" t="b">
        <v>0</v>
      </c>
      <c r="L46" s="58" t="b">
        <v>1</v>
      </c>
      <c r="M46" s="58" t="b">
        <v>1</v>
      </c>
      <c r="N46" s="58" t="b">
        <v>1</v>
      </c>
      <c r="O46" s="58" t="b">
        <v>1</v>
      </c>
      <c r="P46" s="58" t="b">
        <v>1</v>
      </c>
      <c r="Q46" s="58" t="b">
        <v>1</v>
      </c>
    </row>
    <row r="47">
      <c r="A47" s="101" t="s">
        <v>959</v>
      </c>
      <c r="B47" s="101" t="s">
        <v>960</v>
      </c>
      <c r="C47" s="102">
        <v>7.354989809E9</v>
      </c>
      <c r="D47" s="102" t="s">
        <v>22</v>
      </c>
      <c r="E47" s="103">
        <f t="shared" si="1"/>
        <v>9</v>
      </c>
      <c r="F47" s="103">
        <f t="shared" si="2"/>
        <v>6</v>
      </c>
      <c r="G47" s="100">
        <f t="shared" si="3"/>
        <v>66.66666667</v>
      </c>
      <c r="H47" s="41"/>
      <c r="I47" s="58" t="b">
        <v>1</v>
      </c>
      <c r="J47" s="58" t="b">
        <v>1</v>
      </c>
      <c r="K47" s="58" t="b">
        <v>1</v>
      </c>
      <c r="L47" s="58" t="b">
        <v>1</v>
      </c>
      <c r="M47" s="58" t="b">
        <v>0</v>
      </c>
      <c r="N47" s="58" t="b">
        <v>1</v>
      </c>
      <c r="O47" s="58" t="b">
        <v>1</v>
      </c>
      <c r="P47" s="58" t="b">
        <v>0</v>
      </c>
      <c r="Q47" s="58" t="b">
        <v>0</v>
      </c>
    </row>
    <row r="48">
      <c r="A48" s="101" t="s">
        <v>961</v>
      </c>
      <c r="B48" s="101" t="s">
        <v>962</v>
      </c>
      <c r="C48" s="102">
        <v>7.489246349E9</v>
      </c>
      <c r="D48" s="102" t="s">
        <v>22</v>
      </c>
      <c r="E48" s="103">
        <f t="shared" si="1"/>
        <v>9</v>
      </c>
      <c r="F48" s="103">
        <f t="shared" si="2"/>
        <v>6</v>
      </c>
      <c r="G48" s="100">
        <f t="shared" si="3"/>
        <v>66.66666667</v>
      </c>
      <c r="H48" s="41"/>
      <c r="I48" s="58" t="b">
        <v>1</v>
      </c>
      <c r="J48" s="58" t="b">
        <v>1</v>
      </c>
      <c r="K48" s="58" t="b">
        <v>0</v>
      </c>
      <c r="L48" s="58" t="b">
        <v>1</v>
      </c>
      <c r="M48" s="58" t="b">
        <v>0</v>
      </c>
      <c r="N48" s="58" t="b">
        <v>0</v>
      </c>
      <c r="O48" s="58" t="b">
        <v>1</v>
      </c>
      <c r="P48" s="58" t="b">
        <v>1</v>
      </c>
      <c r="Q48" s="58" t="b">
        <v>1</v>
      </c>
    </row>
    <row r="49">
      <c r="A49" s="101" t="s">
        <v>963</v>
      </c>
      <c r="B49" s="101" t="s">
        <v>964</v>
      </c>
      <c r="C49" s="102">
        <v>9.301526536E9</v>
      </c>
      <c r="D49" s="102" t="s">
        <v>22</v>
      </c>
      <c r="E49" s="103">
        <f t="shared" si="1"/>
        <v>9</v>
      </c>
      <c r="F49" s="103">
        <f t="shared" si="2"/>
        <v>2</v>
      </c>
      <c r="G49" s="100">
        <f t="shared" si="3"/>
        <v>22.22222222</v>
      </c>
      <c r="H49" s="41"/>
      <c r="I49" s="58" t="b">
        <v>1</v>
      </c>
      <c r="J49" s="58" t="b">
        <v>1</v>
      </c>
      <c r="K49" s="58" t="b">
        <v>0</v>
      </c>
      <c r="L49" s="58" t="b">
        <v>0</v>
      </c>
      <c r="M49" s="58" t="b">
        <v>0</v>
      </c>
      <c r="N49" s="58" t="b">
        <v>0</v>
      </c>
      <c r="O49" s="58" t="b">
        <v>0</v>
      </c>
      <c r="P49" s="58" t="b">
        <v>0</v>
      </c>
      <c r="Q49" s="58" t="b">
        <v>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5"/>
  </cols>
  <sheetData>
    <row r="1">
      <c r="A1" s="105" t="s">
        <v>0</v>
      </c>
      <c r="B1" s="105" t="s">
        <v>965</v>
      </c>
      <c r="C1" s="106" t="s">
        <v>1</v>
      </c>
      <c r="D1" s="105" t="s">
        <v>966</v>
      </c>
      <c r="E1" s="105" t="s">
        <v>967</v>
      </c>
      <c r="F1" s="107">
        <v>46098.0</v>
      </c>
      <c r="G1" s="107">
        <v>46097.0</v>
      </c>
      <c r="H1" s="107">
        <v>46094.0</v>
      </c>
      <c r="I1" s="107">
        <v>46091.0</v>
      </c>
      <c r="J1" s="107">
        <v>46090.0</v>
      </c>
      <c r="K1" s="107">
        <v>46087.0</v>
      </c>
      <c r="L1" s="107">
        <v>46084.0</v>
      </c>
      <c r="M1" s="107">
        <v>46083.0</v>
      </c>
      <c r="N1" s="107">
        <v>46080.0</v>
      </c>
      <c r="O1" s="107">
        <v>46077.0</v>
      </c>
      <c r="P1" s="107">
        <v>46076.0</v>
      </c>
      <c r="Q1" s="107">
        <v>46073.0</v>
      </c>
      <c r="R1" s="107">
        <v>46070.0</v>
      </c>
      <c r="S1" s="107">
        <v>46069.0</v>
      </c>
      <c r="T1" s="107">
        <v>46066.0</v>
      </c>
      <c r="U1" s="107">
        <v>46063.0</v>
      </c>
      <c r="V1" s="107">
        <v>46062.0</v>
      </c>
      <c r="W1" s="107">
        <v>46059.0</v>
      </c>
      <c r="X1" s="107">
        <v>46056.0</v>
      </c>
      <c r="Y1" s="107">
        <v>46055.0</v>
      </c>
      <c r="Z1" s="107">
        <v>46052.0</v>
      </c>
      <c r="AA1" s="107">
        <v>46049.0</v>
      </c>
      <c r="AB1" s="107">
        <v>46045.0</v>
      </c>
      <c r="AC1" s="107">
        <v>46042.0</v>
      </c>
      <c r="AD1" s="107">
        <v>46041.0</v>
      </c>
      <c r="AE1" s="107">
        <v>46038.0</v>
      </c>
      <c r="AF1" s="107">
        <v>46035.0</v>
      </c>
      <c r="AG1" s="107">
        <v>46034.0</v>
      </c>
      <c r="AH1" s="107">
        <v>46031.0</v>
      </c>
      <c r="AI1" s="107">
        <v>46028.0</v>
      </c>
      <c r="AJ1" s="107">
        <v>46027.0</v>
      </c>
      <c r="AK1" s="107">
        <v>46024.0</v>
      </c>
      <c r="AL1" s="107">
        <v>46013.0</v>
      </c>
      <c r="AM1" s="107">
        <v>46010.0</v>
      </c>
      <c r="AN1" s="107">
        <v>46007.0</v>
      </c>
      <c r="AO1" s="107">
        <v>46006.0</v>
      </c>
      <c r="AP1" s="107">
        <v>46003.0</v>
      </c>
      <c r="AQ1" s="107">
        <v>46000.0</v>
      </c>
      <c r="AR1" s="107">
        <v>45999.0</v>
      </c>
      <c r="AS1" s="107">
        <v>45996.0</v>
      </c>
      <c r="AT1" s="107">
        <v>45993.0</v>
      </c>
      <c r="AU1" s="107">
        <v>45992.0</v>
      </c>
      <c r="AV1" s="107">
        <v>45989.0</v>
      </c>
      <c r="AW1" s="107">
        <v>45986.0</v>
      </c>
      <c r="AX1" s="107">
        <v>45985.0</v>
      </c>
      <c r="AY1" s="107">
        <v>45982.0</v>
      </c>
      <c r="AZ1" s="107">
        <v>45979.0</v>
      </c>
      <c r="BA1" s="107">
        <v>45978.0</v>
      </c>
      <c r="BB1" s="107">
        <v>45975.0</v>
      </c>
      <c r="BC1" s="107">
        <v>45972.0</v>
      </c>
      <c r="BD1" s="107">
        <v>45971.0</v>
      </c>
      <c r="BE1" s="107">
        <v>45968.0</v>
      </c>
      <c r="BF1" s="107">
        <v>45965.0</v>
      </c>
      <c r="BG1" s="107">
        <v>45964.0</v>
      </c>
      <c r="BH1" s="107">
        <v>45961.0</v>
      </c>
      <c r="BI1" s="107">
        <v>45958.0</v>
      </c>
      <c r="BJ1" s="107">
        <v>45957.0</v>
      </c>
      <c r="BK1" s="107">
        <v>45954.0</v>
      </c>
      <c r="BL1" s="107">
        <v>45945.0</v>
      </c>
      <c r="BM1" s="107">
        <v>45944.0</v>
      </c>
      <c r="BN1" s="107">
        <v>45943.0</v>
      </c>
      <c r="BO1" s="107">
        <v>45940.0</v>
      </c>
      <c r="BP1" s="107">
        <v>45937.0</v>
      </c>
      <c r="BQ1" s="107">
        <v>45936.0</v>
      </c>
      <c r="BR1" s="107">
        <v>45933.0</v>
      </c>
      <c r="BS1" s="107">
        <v>45930.0</v>
      </c>
      <c r="BT1" s="107">
        <v>45929.0</v>
      </c>
      <c r="BU1" s="107">
        <v>45926.0</v>
      </c>
      <c r="BV1" s="107">
        <v>45925.0</v>
      </c>
      <c r="BW1" s="107">
        <v>45923.0</v>
      </c>
      <c r="BX1" s="107">
        <v>45922.0</v>
      </c>
      <c r="BY1" s="107">
        <v>45919.0</v>
      </c>
      <c r="BZ1" s="107">
        <v>45918.0</v>
      </c>
      <c r="CA1" s="107">
        <v>45916.0</v>
      </c>
      <c r="CB1" s="107">
        <v>45915.0</v>
      </c>
      <c r="CC1" s="107">
        <v>45912.0</v>
      </c>
      <c r="CD1" s="107">
        <v>45911.0</v>
      </c>
      <c r="CE1" s="107">
        <v>45909.0</v>
      </c>
      <c r="CF1" s="107">
        <v>45908.0</v>
      </c>
      <c r="CG1" s="107">
        <v>45905.0</v>
      </c>
      <c r="CH1" s="107">
        <v>45904.0</v>
      </c>
      <c r="CI1" s="107">
        <v>45902.0</v>
      </c>
      <c r="CJ1" s="107">
        <v>45901.0</v>
      </c>
      <c r="CK1" s="108">
        <v>45898.0</v>
      </c>
      <c r="CL1" s="108">
        <v>45897.0</v>
      </c>
      <c r="CM1" s="108">
        <v>45895.0</v>
      </c>
      <c r="CN1" s="108">
        <v>45894.0</v>
      </c>
    </row>
    <row r="2">
      <c r="A2" s="109" t="s">
        <v>968</v>
      </c>
      <c r="B2" s="109">
        <v>9.693950103E9</v>
      </c>
      <c r="C2" s="109" t="s">
        <v>969</v>
      </c>
      <c r="D2" s="109" t="s">
        <v>970</v>
      </c>
      <c r="E2" s="110" t="s">
        <v>971</v>
      </c>
      <c r="F2" s="109" t="b">
        <v>0</v>
      </c>
      <c r="G2" s="109" t="b">
        <v>0</v>
      </c>
      <c r="H2" s="109" t="b">
        <v>0</v>
      </c>
      <c r="I2" s="109" t="b">
        <v>0</v>
      </c>
      <c r="J2" s="109" t="b">
        <v>0</v>
      </c>
      <c r="K2" s="109" t="b">
        <v>0</v>
      </c>
      <c r="L2" s="109" t="b">
        <v>0</v>
      </c>
      <c r="M2" s="109" t="b">
        <v>0</v>
      </c>
      <c r="N2" s="109" t="b">
        <v>0</v>
      </c>
      <c r="O2" s="109" t="b">
        <v>0</v>
      </c>
      <c r="P2" s="109" t="b">
        <v>0</v>
      </c>
      <c r="Q2" s="109" t="b">
        <v>0</v>
      </c>
      <c r="R2" s="109" t="b">
        <v>0</v>
      </c>
      <c r="S2" s="109" t="b">
        <v>0</v>
      </c>
      <c r="T2" s="109" t="b">
        <v>0</v>
      </c>
      <c r="U2" s="109" t="b">
        <v>0</v>
      </c>
      <c r="V2" s="109" t="b">
        <v>0</v>
      </c>
      <c r="W2" s="109" t="b">
        <v>0</v>
      </c>
      <c r="X2" s="109" t="b">
        <v>0</v>
      </c>
      <c r="Y2" s="109" t="b">
        <v>0</v>
      </c>
      <c r="Z2" s="109" t="b">
        <v>0</v>
      </c>
      <c r="AA2" s="109" t="b">
        <v>0</v>
      </c>
      <c r="AB2" s="109" t="b">
        <v>0</v>
      </c>
      <c r="AC2" s="109" t="b">
        <v>0</v>
      </c>
      <c r="AD2" s="109" t="b">
        <v>0</v>
      </c>
      <c r="AE2" s="109" t="b">
        <v>0</v>
      </c>
      <c r="AF2" s="109" t="b">
        <v>0</v>
      </c>
      <c r="AG2" s="109" t="b">
        <v>0</v>
      </c>
      <c r="AH2" s="109" t="b">
        <v>0</v>
      </c>
      <c r="AI2" s="109" t="b">
        <v>0</v>
      </c>
      <c r="AJ2" s="109" t="b">
        <v>0</v>
      </c>
      <c r="AK2" s="109" t="b">
        <v>0</v>
      </c>
      <c r="AL2" s="109" t="b">
        <v>0</v>
      </c>
      <c r="AM2" s="109" t="b">
        <v>0</v>
      </c>
      <c r="AN2" s="109" t="b">
        <v>0</v>
      </c>
      <c r="AO2" s="109" t="b">
        <v>0</v>
      </c>
      <c r="AP2" s="109" t="b">
        <v>0</v>
      </c>
      <c r="AQ2" s="109" t="b">
        <v>0</v>
      </c>
      <c r="AR2" s="109" t="b">
        <v>0</v>
      </c>
      <c r="AS2" s="109" t="b">
        <v>0</v>
      </c>
      <c r="AT2" s="109" t="b">
        <v>0</v>
      </c>
      <c r="AU2" s="109" t="b">
        <v>0</v>
      </c>
      <c r="AV2" s="109" t="b">
        <v>0</v>
      </c>
      <c r="AW2" s="109" t="b">
        <v>0</v>
      </c>
      <c r="AX2" s="109" t="b">
        <v>0</v>
      </c>
      <c r="AY2" s="109" t="b">
        <v>0</v>
      </c>
      <c r="AZ2" s="109" t="b">
        <v>0</v>
      </c>
      <c r="BA2" s="109" t="b">
        <v>0</v>
      </c>
      <c r="BB2" s="109" t="b">
        <v>0</v>
      </c>
      <c r="BC2" s="109" t="b">
        <v>0</v>
      </c>
      <c r="BD2" s="109" t="b">
        <v>0</v>
      </c>
      <c r="BE2" s="109" t="b">
        <v>0</v>
      </c>
      <c r="BF2" s="109" t="b">
        <v>0</v>
      </c>
      <c r="BG2" s="109" t="b">
        <v>0</v>
      </c>
      <c r="BH2" s="109" t="b">
        <v>0</v>
      </c>
      <c r="BI2" s="109" t="b">
        <v>0</v>
      </c>
      <c r="BJ2" s="109" t="b">
        <v>0</v>
      </c>
      <c r="BK2" s="109" t="b">
        <v>0</v>
      </c>
      <c r="BL2" s="109" t="b">
        <v>0</v>
      </c>
      <c r="BM2" s="109" t="b">
        <v>0</v>
      </c>
      <c r="BN2" s="109" t="b">
        <v>0</v>
      </c>
      <c r="BO2" s="109" t="b">
        <v>0</v>
      </c>
      <c r="BP2" s="109" t="b">
        <v>0</v>
      </c>
      <c r="BQ2" s="109" t="b">
        <v>0</v>
      </c>
      <c r="BR2" s="109" t="b">
        <v>0</v>
      </c>
      <c r="BS2" s="109" t="b">
        <v>0</v>
      </c>
      <c r="BT2" s="109" t="b">
        <v>0</v>
      </c>
      <c r="BU2" s="109" t="b">
        <v>0</v>
      </c>
      <c r="BV2" s="109" t="b">
        <v>0</v>
      </c>
      <c r="BW2" s="109" t="b">
        <v>0</v>
      </c>
      <c r="BX2" s="109" t="b">
        <v>0</v>
      </c>
      <c r="BY2" s="109" t="b">
        <v>0</v>
      </c>
      <c r="BZ2" s="109" t="b">
        <v>0</v>
      </c>
      <c r="CA2" s="109" t="b">
        <v>0</v>
      </c>
      <c r="CB2" s="109" t="b">
        <v>0</v>
      </c>
      <c r="CC2" s="109" t="b">
        <v>0</v>
      </c>
      <c r="CD2" s="109" t="b">
        <v>0</v>
      </c>
      <c r="CE2" s="109" t="b">
        <v>0</v>
      </c>
      <c r="CF2" s="109" t="b">
        <v>0</v>
      </c>
      <c r="CG2" s="109" t="b">
        <v>0</v>
      </c>
      <c r="CH2" s="109" t="b">
        <v>0</v>
      </c>
      <c r="CI2" s="109" t="b">
        <v>0</v>
      </c>
      <c r="CJ2" s="109" t="b">
        <v>0</v>
      </c>
      <c r="CK2" s="109" t="b">
        <v>0</v>
      </c>
      <c r="CL2" s="109" t="b">
        <v>0</v>
      </c>
      <c r="CM2" s="109" t="b">
        <v>0</v>
      </c>
      <c r="CN2" s="109" t="b">
        <v>0</v>
      </c>
    </row>
    <row r="3">
      <c r="A3" s="109" t="s">
        <v>972</v>
      </c>
      <c r="B3" s="109">
        <v>8.08867742E9</v>
      </c>
      <c r="C3" s="109" t="s">
        <v>973</v>
      </c>
      <c r="D3" s="109" t="s">
        <v>970</v>
      </c>
      <c r="F3" s="109" t="b">
        <v>0</v>
      </c>
      <c r="G3" s="109" t="b">
        <v>0</v>
      </c>
      <c r="H3" s="109" t="b">
        <v>0</v>
      </c>
      <c r="I3" s="109" t="b">
        <v>0</v>
      </c>
      <c r="J3" s="109" t="b">
        <v>0</v>
      </c>
      <c r="K3" s="109" t="b">
        <v>0</v>
      </c>
      <c r="L3" s="109" t="b">
        <v>0</v>
      </c>
      <c r="M3" s="109" t="b">
        <v>0</v>
      </c>
      <c r="N3" s="109" t="b">
        <v>0</v>
      </c>
      <c r="O3" s="109" t="b">
        <v>0</v>
      </c>
      <c r="P3" s="109" t="b">
        <v>0</v>
      </c>
      <c r="Q3" s="109" t="b">
        <v>0</v>
      </c>
      <c r="R3" s="109" t="b">
        <v>0</v>
      </c>
      <c r="S3" s="109" t="b">
        <v>0</v>
      </c>
      <c r="T3" s="109" t="b">
        <v>0</v>
      </c>
      <c r="U3" s="109" t="b">
        <v>0</v>
      </c>
      <c r="V3" s="109" t="b">
        <v>0</v>
      </c>
      <c r="W3" s="109" t="b">
        <v>0</v>
      </c>
      <c r="X3" s="109" t="b">
        <v>0</v>
      </c>
      <c r="Y3" s="109" t="b">
        <v>0</v>
      </c>
      <c r="Z3" s="109" t="b">
        <v>1</v>
      </c>
      <c r="AA3" s="109" t="b">
        <v>0</v>
      </c>
      <c r="AB3" s="109" t="b">
        <v>0</v>
      </c>
      <c r="AC3" s="109" t="b">
        <v>0</v>
      </c>
      <c r="AD3" s="109" t="b">
        <v>1</v>
      </c>
      <c r="AE3" s="109" t="b">
        <v>0</v>
      </c>
      <c r="AF3" s="109" t="b">
        <v>0</v>
      </c>
      <c r="AG3" s="109" t="b">
        <v>0</v>
      </c>
      <c r="AH3" s="109" t="b">
        <v>0</v>
      </c>
      <c r="AI3" s="109" t="b">
        <v>0</v>
      </c>
      <c r="AJ3" s="109" t="b">
        <v>0</v>
      </c>
      <c r="AK3" s="109" t="b">
        <v>0</v>
      </c>
      <c r="AL3" s="109" t="b">
        <v>0</v>
      </c>
      <c r="AM3" s="109" t="b">
        <v>0</v>
      </c>
      <c r="AN3" s="109" t="b">
        <v>0</v>
      </c>
      <c r="AO3" s="109" t="b">
        <v>0</v>
      </c>
      <c r="AP3" s="109" t="b">
        <v>0</v>
      </c>
      <c r="AQ3" s="109" t="b">
        <v>0</v>
      </c>
      <c r="AR3" s="109" t="b">
        <v>0</v>
      </c>
      <c r="AS3" s="109" t="b">
        <v>0</v>
      </c>
      <c r="AT3" s="109" t="b">
        <v>0</v>
      </c>
      <c r="AU3" s="109" t="b">
        <v>0</v>
      </c>
      <c r="AV3" s="109" t="b">
        <v>0</v>
      </c>
      <c r="AW3" s="109" t="b">
        <v>0</v>
      </c>
      <c r="AX3" s="109" t="b">
        <v>0</v>
      </c>
      <c r="AY3" s="109" t="b">
        <v>0</v>
      </c>
      <c r="AZ3" s="109" t="b">
        <v>0</v>
      </c>
      <c r="BA3" s="109" t="b">
        <v>0</v>
      </c>
      <c r="BB3" s="109" t="b">
        <v>0</v>
      </c>
      <c r="BC3" s="109" t="b">
        <v>0</v>
      </c>
      <c r="BD3" s="109" t="b">
        <v>1</v>
      </c>
      <c r="BE3" s="109" t="b">
        <v>1</v>
      </c>
      <c r="BF3" s="109" t="b">
        <v>1</v>
      </c>
      <c r="BG3" s="109" t="b">
        <v>1</v>
      </c>
      <c r="BH3" s="109" t="b">
        <v>1</v>
      </c>
      <c r="BI3" s="109" t="b">
        <v>1</v>
      </c>
      <c r="BJ3" s="109" t="b">
        <v>0</v>
      </c>
      <c r="BK3" s="109" t="b">
        <v>1</v>
      </c>
      <c r="BL3" s="109" t="b">
        <v>0</v>
      </c>
      <c r="BM3" s="109" t="b">
        <v>1</v>
      </c>
      <c r="BN3" s="109" t="b">
        <v>0</v>
      </c>
      <c r="BO3" s="109" t="b">
        <v>1</v>
      </c>
      <c r="BP3" s="109" t="b">
        <v>1</v>
      </c>
      <c r="BQ3" s="109" t="b">
        <v>0</v>
      </c>
      <c r="BR3" s="109" t="b">
        <v>0</v>
      </c>
      <c r="BS3" s="109" t="b">
        <v>1</v>
      </c>
      <c r="BT3" s="109" t="b">
        <v>1</v>
      </c>
      <c r="BU3" s="109" t="b">
        <v>1</v>
      </c>
      <c r="BV3" s="109" t="b">
        <v>1</v>
      </c>
      <c r="BW3" s="109" t="b">
        <v>0</v>
      </c>
      <c r="BX3" s="109" t="b">
        <v>1</v>
      </c>
      <c r="BY3" s="109" t="b">
        <v>0</v>
      </c>
      <c r="BZ3" s="109" t="b">
        <v>0</v>
      </c>
      <c r="CA3" s="109" t="b">
        <v>0</v>
      </c>
      <c r="CB3" s="109" t="b">
        <v>1</v>
      </c>
      <c r="CC3" s="109" t="b">
        <v>1</v>
      </c>
      <c r="CD3" s="109" t="b">
        <v>1</v>
      </c>
      <c r="CE3" s="109" t="b">
        <v>0</v>
      </c>
      <c r="CF3" s="109" t="b">
        <v>0</v>
      </c>
      <c r="CG3" s="109" t="b">
        <v>0</v>
      </c>
      <c r="CH3" s="109" t="b">
        <v>0</v>
      </c>
      <c r="CI3" s="109" t="b">
        <v>0</v>
      </c>
      <c r="CJ3" s="109" t="b">
        <v>0</v>
      </c>
      <c r="CK3" s="109" t="b">
        <v>0</v>
      </c>
      <c r="CL3" s="109" t="b">
        <v>1</v>
      </c>
      <c r="CM3" s="109" t="b">
        <v>0</v>
      </c>
      <c r="CN3" s="109" t="b">
        <v>1</v>
      </c>
    </row>
    <row r="4">
      <c r="A4" s="109" t="s">
        <v>974</v>
      </c>
      <c r="B4" s="109">
        <v>7.903235478E9</v>
      </c>
      <c r="C4" s="109" t="s">
        <v>975</v>
      </c>
      <c r="D4" s="109" t="s">
        <v>970</v>
      </c>
      <c r="F4" s="109" t="b">
        <v>0</v>
      </c>
      <c r="G4" s="109" t="b">
        <v>0</v>
      </c>
      <c r="H4" s="109" t="b">
        <v>0</v>
      </c>
      <c r="I4" s="109" t="b">
        <v>0</v>
      </c>
      <c r="J4" s="109" t="b">
        <v>0</v>
      </c>
      <c r="K4" s="109" t="b">
        <v>0</v>
      </c>
      <c r="L4" s="109" t="b">
        <v>0</v>
      </c>
      <c r="M4" s="109" t="b">
        <v>0</v>
      </c>
      <c r="N4" s="109" t="b">
        <v>0</v>
      </c>
      <c r="O4" s="109" t="b">
        <v>0</v>
      </c>
      <c r="P4" s="109" t="b">
        <v>0</v>
      </c>
      <c r="Q4" s="109" t="b">
        <v>0</v>
      </c>
      <c r="R4" s="109" t="b">
        <v>0</v>
      </c>
      <c r="S4" s="109" t="b">
        <v>0</v>
      </c>
      <c r="T4" s="109" t="b">
        <v>0</v>
      </c>
      <c r="U4" s="109" t="b">
        <v>0</v>
      </c>
      <c r="V4" s="109" t="b">
        <v>0</v>
      </c>
      <c r="W4" s="109" t="b">
        <v>0</v>
      </c>
      <c r="X4" s="109" t="b">
        <v>0</v>
      </c>
      <c r="Y4" s="109" t="b">
        <v>0</v>
      </c>
      <c r="Z4" s="109" t="b">
        <v>0</v>
      </c>
      <c r="AA4" s="109" t="b">
        <v>0</v>
      </c>
      <c r="AB4" s="109" t="b">
        <v>0</v>
      </c>
      <c r="AC4" s="109" t="b">
        <v>0</v>
      </c>
      <c r="AD4" s="109" t="b">
        <v>0</v>
      </c>
      <c r="AE4" s="109" t="b">
        <v>0</v>
      </c>
      <c r="AF4" s="109" t="b">
        <v>0</v>
      </c>
      <c r="AG4" s="109" t="b">
        <v>0</v>
      </c>
      <c r="AH4" s="109" t="b">
        <v>0</v>
      </c>
      <c r="AI4" s="109" t="b">
        <v>0</v>
      </c>
      <c r="AJ4" s="109" t="b">
        <v>0</v>
      </c>
      <c r="AK4" s="109" t="b">
        <v>0</v>
      </c>
      <c r="AL4" s="109" t="b">
        <v>0</v>
      </c>
      <c r="AM4" s="109" t="b">
        <v>0</v>
      </c>
      <c r="AN4" s="109" t="b">
        <v>0</v>
      </c>
      <c r="AO4" s="109" t="b">
        <v>0</v>
      </c>
      <c r="AP4" s="109" t="b">
        <v>1</v>
      </c>
      <c r="AQ4" s="109" t="b">
        <v>0</v>
      </c>
      <c r="AR4" s="109" t="b">
        <v>0</v>
      </c>
      <c r="AS4" s="109" t="b">
        <v>0</v>
      </c>
      <c r="AT4" s="109" t="b">
        <v>0</v>
      </c>
      <c r="AU4" s="109" t="b">
        <v>0</v>
      </c>
      <c r="AV4" s="109" t="b">
        <v>0</v>
      </c>
      <c r="AW4" s="109" t="b">
        <v>1</v>
      </c>
      <c r="AX4" s="109" t="b">
        <v>0</v>
      </c>
      <c r="AY4" s="109" t="b">
        <v>0</v>
      </c>
      <c r="AZ4" s="109" t="b">
        <v>1</v>
      </c>
      <c r="BA4" s="109" t="b">
        <v>1</v>
      </c>
      <c r="BB4" s="109" t="b">
        <v>0</v>
      </c>
      <c r="BC4" s="109" t="b">
        <v>0</v>
      </c>
      <c r="BD4" s="109" t="b">
        <v>0</v>
      </c>
      <c r="BE4" s="109" t="b">
        <v>0</v>
      </c>
      <c r="BF4" s="109" t="b">
        <v>1</v>
      </c>
      <c r="BG4" s="109" t="b">
        <v>0</v>
      </c>
      <c r="BH4" s="109" t="b">
        <v>1</v>
      </c>
      <c r="BI4" s="109" t="b">
        <v>1</v>
      </c>
      <c r="BJ4" s="109" t="b">
        <v>0</v>
      </c>
      <c r="BK4" s="109" t="b">
        <v>1</v>
      </c>
      <c r="BL4" s="109" t="b">
        <v>0</v>
      </c>
      <c r="BM4" s="109" t="b">
        <v>0</v>
      </c>
      <c r="BN4" s="109" t="b">
        <v>0</v>
      </c>
      <c r="BO4" s="109" t="b">
        <v>0</v>
      </c>
      <c r="BP4" s="109" t="b">
        <v>0</v>
      </c>
      <c r="BQ4" s="109" t="b">
        <v>0</v>
      </c>
      <c r="BR4" s="109" t="b">
        <v>0</v>
      </c>
      <c r="BS4" s="109" t="b">
        <v>0</v>
      </c>
      <c r="BT4" s="109" t="b">
        <v>0</v>
      </c>
      <c r="BU4" s="109" t="b">
        <v>0</v>
      </c>
      <c r="BV4" s="109" t="b">
        <v>0</v>
      </c>
      <c r="BW4" s="109" t="b">
        <v>0</v>
      </c>
      <c r="BX4" s="109" t="b">
        <v>0</v>
      </c>
      <c r="BY4" s="109" t="b">
        <v>0</v>
      </c>
      <c r="BZ4" s="109" t="b">
        <v>1</v>
      </c>
      <c r="CA4" s="109" t="b">
        <v>1</v>
      </c>
      <c r="CB4" s="109" t="b">
        <v>0</v>
      </c>
      <c r="CC4" s="109" t="b">
        <v>1</v>
      </c>
      <c r="CD4" s="109" t="b">
        <v>1</v>
      </c>
      <c r="CE4" s="109" t="b">
        <v>1</v>
      </c>
      <c r="CF4" s="109" t="b">
        <v>0</v>
      </c>
      <c r="CG4" s="109" t="b">
        <v>1</v>
      </c>
      <c r="CH4" s="109" t="b">
        <v>1</v>
      </c>
      <c r="CI4" s="109" t="b">
        <v>1</v>
      </c>
      <c r="CJ4" s="109" t="b">
        <v>0</v>
      </c>
      <c r="CK4" s="109" t="b">
        <v>0</v>
      </c>
      <c r="CL4" s="109" t="b">
        <v>1</v>
      </c>
      <c r="CM4" s="109" t="b">
        <v>0</v>
      </c>
      <c r="CN4" s="109" t="b">
        <v>0</v>
      </c>
    </row>
    <row r="5">
      <c r="A5" s="111" t="s">
        <v>976</v>
      </c>
      <c r="B5" s="111" t="s">
        <v>977</v>
      </c>
      <c r="C5" s="111" t="s">
        <v>18</v>
      </c>
      <c r="D5" s="111" t="s">
        <v>970</v>
      </c>
      <c r="E5" s="112"/>
      <c r="F5" s="111" t="b">
        <v>0</v>
      </c>
      <c r="G5" s="111" t="b">
        <v>0</v>
      </c>
      <c r="H5" s="111" t="b">
        <v>0</v>
      </c>
      <c r="I5" s="111" t="b">
        <v>0</v>
      </c>
      <c r="J5" s="111" t="b">
        <v>0</v>
      </c>
      <c r="K5" s="111" t="b">
        <v>0</v>
      </c>
      <c r="L5" s="111" t="b">
        <v>0</v>
      </c>
      <c r="M5" s="111" t="b">
        <v>0</v>
      </c>
      <c r="N5" s="111" t="b">
        <v>0</v>
      </c>
      <c r="O5" s="111" t="b">
        <v>1</v>
      </c>
      <c r="P5" s="111" t="b">
        <v>1</v>
      </c>
      <c r="Q5" s="111" t="b">
        <v>1</v>
      </c>
      <c r="R5" s="111" t="b">
        <v>1</v>
      </c>
      <c r="S5" s="111" t="b">
        <v>1</v>
      </c>
      <c r="T5" s="111" t="b">
        <v>1</v>
      </c>
      <c r="U5" s="111" t="b">
        <v>0</v>
      </c>
      <c r="V5" s="111" t="b">
        <v>0</v>
      </c>
      <c r="W5" s="111" t="b">
        <v>0</v>
      </c>
      <c r="X5" s="111" t="b">
        <v>1</v>
      </c>
      <c r="Y5" s="111" t="b">
        <v>1</v>
      </c>
      <c r="Z5" s="111" t="b">
        <v>1</v>
      </c>
      <c r="AA5" s="111" t="b">
        <v>1</v>
      </c>
      <c r="AB5" s="111" t="b">
        <v>0</v>
      </c>
      <c r="AC5" s="111" t="b">
        <v>0</v>
      </c>
      <c r="AD5" s="111" t="b">
        <v>1</v>
      </c>
      <c r="AE5" s="111" t="b">
        <v>0</v>
      </c>
      <c r="AF5" s="111" t="b">
        <v>0</v>
      </c>
      <c r="AG5" s="111" t="b">
        <v>0</v>
      </c>
      <c r="AH5" s="111" t="b">
        <v>0</v>
      </c>
      <c r="AI5" s="111" t="b">
        <v>0</v>
      </c>
      <c r="AJ5" s="111" t="b">
        <v>0</v>
      </c>
      <c r="AK5" s="111" t="b">
        <v>0</v>
      </c>
      <c r="AL5" s="111" t="b">
        <v>0</v>
      </c>
      <c r="AM5" s="111" t="b">
        <v>0</v>
      </c>
      <c r="AN5" s="111" t="b">
        <v>1</v>
      </c>
      <c r="AO5" s="111" t="b">
        <v>1</v>
      </c>
      <c r="AP5" s="111" t="b">
        <v>1</v>
      </c>
      <c r="AQ5" s="111" t="b">
        <v>1</v>
      </c>
      <c r="AR5" s="111" t="b">
        <v>1</v>
      </c>
      <c r="AS5" s="111" t="b">
        <v>1</v>
      </c>
      <c r="AT5" s="111" t="b">
        <v>0</v>
      </c>
      <c r="AU5" s="111" t="b">
        <v>0</v>
      </c>
      <c r="AV5" s="111" t="b">
        <v>1</v>
      </c>
      <c r="AW5" s="111" t="b">
        <v>1</v>
      </c>
      <c r="AX5" s="111" t="b">
        <v>1</v>
      </c>
      <c r="AY5" s="111" t="b">
        <v>1</v>
      </c>
      <c r="AZ5" s="111" t="b">
        <v>0</v>
      </c>
      <c r="BA5" s="111" t="b">
        <v>1</v>
      </c>
      <c r="BB5" s="111" t="b">
        <v>1</v>
      </c>
      <c r="BC5" s="111" t="b">
        <v>0</v>
      </c>
      <c r="BD5" s="111" t="b">
        <v>0</v>
      </c>
      <c r="BE5" s="111" t="b">
        <v>1</v>
      </c>
      <c r="BF5" s="111" t="b">
        <v>1</v>
      </c>
      <c r="BG5" s="111" t="b">
        <v>1</v>
      </c>
      <c r="BH5" s="111" t="b">
        <v>1</v>
      </c>
      <c r="BI5" s="111" t="b">
        <v>1</v>
      </c>
      <c r="BJ5" s="111" t="b">
        <v>1</v>
      </c>
      <c r="BK5" s="111" t="b">
        <v>1</v>
      </c>
      <c r="BL5" s="111" t="b">
        <v>1</v>
      </c>
      <c r="BM5" s="111" t="b">
        <v>1</v>
      </c>
      <c r="BN5" s="111" t="b">
        <v>0</v>
      </c>
      <c r="BO5" s="111" t="b">
        <v>1</v>
      </c>
      <c r="BP5" s="111" t="b">
        <v>0</v>
      </c>
      <c r="BQ5" s="111" t="b">
        <v>0</v>
      </c>
      <c r="BR5" s="111" t="b">
        <v>0</v>
      </c>
      <c r="BS5" s="111" t="b">
        <v>1</v>
      </c>
      <c r="BT5" s="111" t="b">
        <v>0</v>
      </c>
      <c r="BU5" s="111" t="b">
        <v>1</v>
      </c>
      <c r="BV5" s="111" t="b">
        <v>1</v>
      </c>
      <c r="BW5" s="111" t="b">
        <v>1</v>
      </c>
      <c r="BX5" s="111" t="b">
        <v>1</v>
      </c>
      <c r="BY5" s="111" t="b">
        <v>0</v>
      </c>
      <c r="BZ5" s="111" t="b">
        <v>1</v>
      </c>
      <c r="CA5" s="111" t="b">
        <v>0</v>
      </c>
      <c r="CB5" s="111" t="b">
        <v>0</v>
      </c>
      <c r="CC5" s="111" t="b">
        <v>1</v>
      </c>
      <c r="CD5" s="111" t="b">
        <v>1</v>
      </c>
      <c r="CE5" s="111" t="b">
        <v>0</v>
      </c>
      <c r="CF5" s="111" t="b">
        <v>1</v>
      </c>
      <c r="CG5" s="111" t="b">
        <v>1</v>
      </c>
      <c r="CH5" s="111" t="b">
        <v>1</v>
      </c>
      <c r="CI5" s="111" t="b">
        <v>1</v>
      </c>
      <c r="CJ5" s="111" t="b">
        <v>0</v>
      </c>
      <c r="CK5" s="111" t="b">
        <v>0</v>
      </c>
      <c r="CL5" s="111" t="b">
        <v>1</v>
      </c>
      <c r="CM5" s="111" t="b">
        <v>0</v>
      </c>
      <c r="CN5" s="111" t="b">
        <v>1</v>
      </c>
    </row>
    <row r="6">
      <c r="A6" s="113" t="s">
        <v>978</v>
      </c>
      <c r="B6" s="113">
        <v>9.179931427E9</v>
      </c>
      <c r="C6" s="113" t="s">
        <v>979</v>
      </c>
      <c r="D6" s="113" t="s">
        <v>22</v>
      </c>
      <c r="E6" s="114" t="s">
        <v>980</v>
      </c>
      <c r="F6" s="113" t="b">
        <v>1</v>
      </c>
      <c r="G6" s="113" t="b">
        <v>0</v>
      </c>
      <c r="H6" s="113" t="b">
        <v>1</v>
      </c>
      <c r="I6" s="113" t="b">
        <v>0</v>
      </c>
      <c r="J6" s="113" t="b">
        <v>0</v>
      </c>
      <c r="K6" s="113" t="b">
        <v>0</v>
      </c>
      <c r="L6" s="113" t="b">
        <v>1</v>
      </c>
      <c r="M6" s="113" t="b">
        <v>1</v>
      </c>
      <c r="N6" s="113" t="b">
        <v>0</v>
      </c>
      <c r="O6" s="113" t="b">
        <v>0</v>
      </c>
      <c r="P6" s="113" t="b">
        <v>0</v>
      </c>
      <c r="Q6" s="113" t="b">
        <v>0</v>
      </c>
      <c r="R6" s="113" t="b">
        <v>0</v>
      </c>
      <c r="S6" s="113" t="b">
        <v>0</v>
      </c>
      <c r="T6" s="113" t="b">
        <v>0</v>
      </c>
      <c r="U6" s="113" t="b">
        <v>0</v>
      </c>
      <c r="V6" s="113" t="b">
        <v>0</v>
      </c>
      <c r="W6" s="113" t="b">
        <v>0</v>
      </c>
      <c r="X6" s="113" t="b">
        <v>0</v>
      </c>
      <c r="Y6" s="113" t="b">
        <v>0</v>
      </c>
      <c r="Z6" s="113" t="b">
        <v>0</v>
      </c>
      <c r="AA6" s="113" t="b">
        <v>0</v>
      </c>
      <c r="AB6" s="113" t="b">
        <v>0</v>
      </c>
      <c r="AC6" s="113" t="b">
        <v>0</v>
      </c>
      <c r="AD6" s="113" t="b">
        <v>0</v>
      </c>
      <c r="AE6" s="113" t="b">
        <v>0</v>
      </c>
      <c r="AF6" s="113" t="b">
        <v>0</v>
      </c>
      <c r="AG6" s="113" t="b">
        <v>0</v>
      </c>
      <c r="AH6" s="113" t="b">
        <v>0</v>
      </c>
      <c r="AI6" s="113" t="b">
        <v>0</v>
      </c>
      <c r="AJ6" s="113" t="b">
        <v>0</v>
      </c>
      <c r="AK6" s="113" t="b">
        <v>1</v>
      </c>
      <c r="AL6" s="113" t="b">
        <v>1</v>
      </c>
      <c r="AM6" s="113" t="b">
        <v>0</v>
      </c>
      <c r="AN6" s="113" t="b">
        <v>1</v>
      </c>
      <c r="AO6" s="113" t="b">
        <v>0</v>
      </c>
      <c r="AP6" s="113" t="b">
        <v>1</v>
      </c>
      <c r="AQ6" s="113" t="b">
        <v>1</v>
      </c>
      <c r="AR6" s="113" t="b">
        <v>0</v>
      </c>
      <c r="AS6" s="113" t="b">
        <v>1</v>
      </c>
      <c r="AT6" s="113" t="b">
        <v>1</v>
      </c>
      <c r="AU6" s="113" t="b">
        <v>1</v>
      </c>
      <c r="AV6" s="113" t="b">
        <v>1</v>
      </c>
      <c r="AW6" s="113" t="b">
        <v>1</v>
      </c>
      <c r="AX6" s="113" t="b">
        <v>1</v>
      </c>
      <c r="AY6" s="113" t="b">
        <v>1</v>
      </c>
      <c r="AZ6" s="113" t="b">
        <v>1</v>
      </c>
      <c r="BA6" s="113" t="b">
        <v>1</v>
      </c>
      <c r="BB6" s="113" t="b">
        <v>1</v>
      </c>
      <c r="BC6" s="113" t="b">
        <v>1</v>
      </c>
      <c r="BD6" s="113" t="b">
        <v>1</v>
      </c>
      <c r="BE6" s="113" t="b">
        <v>1</v>
      </c>
      <c r="BF6" s="113" t="b">
        <v>1</v>
      </c>
      <c r="BG6" s="113" t="b">
        <v>1</v>
      </c>
      <c r="BH6" s="113" t="b">
        <v>0</v>
      </c>
      <c r="BI6" s="113" t="b">
        <v>0</v>
      </c>
      <c r="BJ6" s="113" t="b">
        <v>0</v>
      </c>
      <c r="BK6" s="113" t="b">
        <v>0</v>
      </c>
      <c r="BL6" s="113" t="b">
        <v>1</v>
      </c>
      <c r="BM6" s="113" t="b">
        <v>0</v>
      </c>
      <c r="BN6" s="113" t="b">
        <v>0</v>
      </c>
      <c r="BO6" s="113" t="b">
        <v>0</v>
      </c>
      <c r="BP6" s="113" t="b">
        <v>1</v>
      </c>
      <c r="BQ6" s="113" t="b">
        <v>1</v>
      </c>
      <c r="BR6" s="113" t="b">
        <v>0</v>
      </c>
      <c r="BS6" s="113" t="b">
        <v>0</v>
      </c>
      <c r="BT6" s="113" t="b">
        <v>0</v>
      </c>
      <c r="BU6" s="113" t="b">
        <v>1</v>
      </c>
      <c r="BV6" s="113" t="b">
        <v>0</v>
      </c>
      <c r="BW6" s="113" t="b">
        <v>1</v>
      </c>
      <c r="BX6" s="113" t="b">
        <v>0</v>
      </c>
      <c r="BY6" s="113" t="b">
        <v>0</v>
      </c>
      <c r="BZ6" s="113" t="b">
        <v>0</v>
      </c>
      <c r="CA6" s="113" t="b">
        <v>0</v>
      </c>
      <c r="CB6" s="113" t="b">
        <v>0</v>
      </c>
      <c r="CC6" s="113" t="b">
        <v>1</v>
      </c>
      <c r="CD6" s="113" t="b">
        <v>1</v>
      </c>
      <c r="CE6" s="113" t="b">
        <v>1</v>
      </c>
      <c r="CF6" s="113" t="b">
        <v>1</v>
      </c>
      <c r="CG6" s="113" t="b">
        <v>0</v>
      </c>
      <c r="CH6" s="113" t="b">
        <v>0</v>
      </c>
      <c r="CI6" s="113" t="b">
        <v>1</v>
      </c>
      <c r="CJ6" s="113" t="b">
        <v>0</v>
      </c>
      <c r="CK6" s="113" t="b">
        <v>0</v>
      </c>
      <c r="CL6" s="113" t="b">
        <v>1</v>
      </c>
      <c r="CM6" s="113" t="b">
        <v>0</v>
      </c>
      <c r="CN6" s="113" t="b">
        <v>1</v>
      </c>
    </row>
    <row r="7">
      <c r="A7" s="113" t="s">
        <v>981</v>
      </c>
      <c r="B7" s="113">
        <v>6.204193694E9</v>
      </c>
      <c r="C7" s="113" t="s">
        <v>982</v>
      </c>
      <c r="D7" s="113" t="s">
        <v>22</v>
      </c>
      <c r="F7" s="113" t="b">
        <v>0</v>
      </c>
      <c r="G7" s="113" t="b">
        <v>0</v>
      </c>
      <c r="H7" s="113" t="b">
        <v>0</v>
      </c>
      <c r="I7" s="113" t="b">
        <v>0</v>
      </c>
      <c r="J7" s="113" t="b">
        <v>0</v>
      </c>
      <c r="K7" s="113" t="b">
        <v>0</v>
      </c>
      <c r="L7" s="113" t="b">
        <v>0</v>
      </c>
      <c r="M7" s="113" t="b">
        <v>0</v>
      </c>
      <c r="N7" s="113" t="b">
        <v>0</v>
      </c>
      <c r="O7" s="113" t="b">
        <v>0</v>
      </c>
      <c r="P7" s="113" t="b">
        <v>0</v>
      </c>
      <c r="Q7" s="113" t="b">
        <v>0</v>
      </c>
      <c r="R7" s="113" t="b">
        <v>0</v>
      </c>
      <c r="S7" s="113" t="b">
        <v>0</v>
      </c>
      <c r="T7" s="113" t="b">
        <v>0</v>
      </c>
      <c r="U7" s="113" t="b">
        <v>0</v>
      </c>
      <c r="V7" s="113" t="b">
        <v>0</v>
      </c>
      <c r="W7" s="113" t="b">
        <v>0</v>
      </c>
      <c r="X7" s="113" t="b">
        <v>0</v>
      </c>
      <c r="Y7" s="113" t="b">
        <v>0</v>
      </c>
      <c r="Z7" s="113" t="b">
        <v>0</v>
      </c>
      <c r="AA7" s="113" t="b">
        <v>0</v>
      </c>
      <c r="AB7" s="113" t="b">
        <v>0</v>
      </c>
      <c r="AC7" s="113" t="b">
        <v>0</v>
      </c>
      <c r="AD7" s="113" t="b">
        <v>0</v>
      </c>
      <c r="AE7" s="113" t="b">
        <v>0</v>
      </c>
      <c r="AF7" s="113" t="b">
        <v>0</v>
      </c>
      <c r="AG7" s="113" t="b">
        <v>0</v>
      </c>
      <c r="AH7" s="113" t="b">
        <v>0</v>
      </c>
      <c r="AI7" s="113" t="b">
        <v>0</v>
      </c>
      <c r="AJ7" s="113" t="b">
        <v>0</v>
      </c>
      <c r="AK7" s="113" t="b">
        <v>1</v>
      </c>
      <c r="AL7" s="113" t="b">
        <v>0</v>
      </c>
      <c r="AM7" s="113" t="b">
        <v>0</v>
      </c>
      <c r="AN7" s="113" t="b">
        <v>0</v>
      </c>
      <c r="AO7" s="113" t="b">
        <v>0</v>
      </c>
      <c r="AP7" s="113" t="b">
        <v>0</v>
      </c>
      <c r="AQ7" s="113" t="b">
        <v>1</v>
      </c>
      <c r="AR7" s="113" t="b">
        <v>1</v>
      </c>
      <c r="AS7" s="113" t="b">
        <v>1</v>
      </c>
      <c r="AT7" s="113" t="b">
        <v>1</v>
      </c>
      <c r="AU7" s="113" t="b">
        <v>1</v>
      </c>
      <c r="AV7" s="113" t="b">
        <v>1</v>
      </c>
      <c r="AW7" s="113" t="b">
        <v>1</v>
      </c>
      <c r="AX7" s="113" t="b">
        <v>1</v>
      </c>
      <c r="AY7" s="113" t="b">
        <v>1</v>
      </c>
      <c r="AZ7" s="113" t="b">
        <v>1</v>
      </c>
      <c r="BA7" s="113" t="b">
        <v>1</v>
      </c>
      <c r="BB7" s="113" t="b">
        <v>0</v>
      </c>
      <c r="BC7" s="113" t="b">
        <v>0</v>
      </c>
      <c r="BD7" s="113" t="b">
        <v>0</v>
      </c>
      <c r="BE7" s="113" t="b">
        <v>1</v>
      </c>
      <c r="BF7" s="113" t="b">
        <v>1</v>
      </c>
      <c r="BG7" s="113" t="b">
        <v>1</v>
      </c>
      <c r="BH7" s="113" t="b">
        <v>0</v>
      </c>
      <c r="BI7" s="113" t="b">
        <v>1</v>
      </c>
      <c r="BJ7" s="113" t="b">
        <v>1</v>
      </c>
      <c r="BK7" s="113" t="b">
        <v>1</v>
      </c>
      <c r="BL7" s="113" t="b">
        <v>1</v>
      </c>
      <c r="BM7" s="113" t="b">
        <v>0</v>
      </c>
      <c r="BN7" s="113" t="b">
        <v>0</v>
      </c>
      <c r="BO7" s="113" t="b">
        <v>1</v>
      </c>
      <c r="BP7" s="113" t="b">
        <v>1</v>
      </c>
      <c r="BQ7" s="113" t="b">
        <v>1</v>
      </c>
      <c r="BR7" s="113" t="b">
        <v>0</v>
      </c>
      <c r="BS7" s="113" t="b">
        <v>0</v>
      </c>
      <c r="BT7" s="113" t="b">
        <v>0</v>
      </c>
      <c r="BU7" s="113" t="b">
        <v>1</v>
      </c>
      <c r="BV7" s="113" t="b">
        <v>1</v>
      </c>
      <c r="BW7" s="113" t="b">
        <v>1</v>
      </c>
      <c r="BX7" s="113" t="b">
        <v>1</v>
      </c>
      <c r="BY7" s="113" t="b">
        <v>0</v>
      </c>
      <c r="BZ7" s="113" t="b">
        <v>0</v>
      </c>
      <c r="CA7" s="113" t="b">
        <v>0</v>
      </c>
      <c r="CB7" s="113" t="b">
        <v>1</v>
      </c>
      <c r="CC7" s="113" t="b">
        <v>0</v>
      </c>
      <c r="CD7" s="113" t="b">
        <v>1</v>
      </c>
      <c r="CE7" s="113" t="b">
        <v>1</v>
      </c>
      <c r="CF7" s="113" t="b">
        <v>0</v>
      </c>
      <c r="CG7" s="113" t="b">
        <v>0</v>
      </c>
      <c r="CH7" s="113" t="b">
        <v>1</v>
      </c>
      <c r="CI7" s="113" t="b">
        <v>1</v>
      </c>
      <c r="CJ7" s="113" t="b">
        <v>1</v>
      </c>
      <c r="CK7" s="113" t="b">
        <v>1</v>
      </c>
      <c r="CL7" s="113" t="b">
        <v>1</v>
      </c>
      <c r="CM7" s="113" t="b">
        <v>0</v>
      </c>
      <c r="CN7" s="113" t="b">
        <v>1</v>
      </c>
    </row>
    <row r="8">
      <c r="A8" s="115" t="s">
        <v>983</v>
      </c>
      <c r="B8" s="115">
        <v>6.266684176E9</v>
      </c>
      <c r="C8" s="115" t="s">
        <v>15</v>
      </c>
      <c r="D8" s="115" t="s">
        <v>22</v>
      </c>
      <c r="F8" s="116" t="b">
        <v>0</v>
      </c>
      <c r="G8" s="116" t="b">
        <v>0</v>
      </c>
      <c r="H8" s="116" t="b">
        <v>0</v>
      </c>
      <c r="I8" s="116" t="b">
        <v>0</v>
      </c>
      <c r="J8" s="116" t="b">
        <v>0</v>
      </c>
      <c r="K8" s="116" t="b">
        <v>0</v>
      </c>
      <c r="L8" s="116" t="b">
        <v>0</v>
      </c>
      <c r="M8" s="116" t="b">
        <v>0</v>
      </c>
      <c r="N8" s="116" t="b">
        <v>0</v>
      </c>
      <c r="O8" s="116" t="b">
        <v>0</v>
      </c>
      <c r="P8" s="116" t="b">
        <v>0</v>
      </c>
      <c r="Q8" s="116" t="b">
        <v>0</v>
      </c>
      <c r="R8" s="116" t="b">
        <v>0</v>
      </c>
      <c r="S8" s="116" t="b">
        <v>0</v>
      </c>
      <c r="T8" s="116" t="b">
        <v>0</v>
      </c>
      <c r="U8" s="116" t="b">
        <v>0</v>
      </c>
      <c r="V8" s="116" t="b">
        <v>0</v>
      </c>
      <c r="W8" s="116" t="b">
        <v>0</v>
      </c>
      <c r="X8" s="116" t="b">
        <v>0</v>
      </c>
      <c r="Y8" s="116" t="b">
        <v>0</v>
      </c>
      <c r="Z8" s="116" t="b">
        <v>0</v>
      </c>
      <c r="AA8" s="116" t="b">
        <v>0</v>
      </c>
      <c r="AB8" s="116" t="b">
        <v>0</v>
      </c>
      <c r="AC8" s="116" t="b">
        <v>0</v>
      </c>
      <c r="AD8" s="116" t="b">
        <v>0</v>
      </c>
      <c r="AE8" s="116" t="b">
        <v>0</v>
      </c>
      <c r="AF8" s="116" t="b">
        <v>0</v>
      </c>
      <c r="AG8" s="116" t="b">
        <v>0</v>
      </c>
      <c r="AH8" s="116" t="b">
        <v>0</v>
      </c>
      <c r="AI8" s="116" t="b">
        <v>0</v>
      </c>
      <c r="AJ8" s="116" t="b">
        <v>0</v>
      </c>
      <c r="AK8" s="116" t="b">
        <v>0</v>
      </c>
      <c r="AL8" s="116" t="b">
        <v>0</v>
      </c>
      <c r="AM8" s="116" t="b">
        <v>0</v>
      </c>
      <c r="AN8" s="116" t="b">
        <v>0</v>
      </c>
      <c r="AO8" s="116" t="b">
        <v>0</v>
      </c>
      <c r="AP8" s="116" t="b">
        <v>0</v>
      </c>
      <c r="AQ8" s="116" t="b">
        <v>0</v>
      </c>
      <c r="AR8" s="116" t="b">
        <v>0</v>
      </c>
      <c r="AS8" s="116" t="b">
        <v>0</v>
      </c>
      <c r="AT8" s="116" t="b">
        <v>0</v>
      </c>
      <c r="AU8" s="116" t="b">
        <v>0</v>
      </c>
      <c r="AV8" s="116" t="b">
        <v>0</v>
      </c>
      <c r="AW8" s="116" t="b">
        <v>0</v>
      </c>
      <c r="AX8" s="116" t="b">
        <v>0</v>
      </c>
      <c r="AY8" s="116" t="b">
        <v>0</v>
      </c>
      <c r="AZ8" s="116" t="b">
        <v>0</v>
      </c>
      <c r="BA8" s="116" t="b">
        <v>0</v>
      </c>
      <c r="BB8" s="116" t="b">
        <v>0</v>
      </c>
      <c r="BC8" s="116" t="b">
        <v>0</v>
      </c>
      <c r="BD8" s="116" t="b">
        <v>0</v>
      </c>
      <c r="BE8" s="116" t="b">
        <v>0</v>
      </c>
      <c r="BF8" s="116" t="b">
        <v>0</v>
      </c>
      <c r="BG8" s="116" t="b">
        <v>0</v>
      </c>
      <c r="BH8" s="116" t="b">
        <v>0</v>
      </c>
      <c r="BI8" s="116" t="b">
        <v>1</v>
      </c>
      <c r="BJ8" s="116" t="b">
        <v>0</v>
      </c>
      <c r="BK8" s="116" t="b">
        <v>0</v>
      </c>
      <c r="BL8" s="116" t="b">
        <v>0</v>
      </c>
      <c r="BM8" s="116" t="b">
        <v>0</v>
      </c>
      <c r="BN8" s="116" t="b">
        <v>1</v>
      </c>
      <c r="BO8" s="116" t="b">
        <v>0</v>
      </c>
      <c r="BP8" s="116" t="b">
        <v>0</v>
      </c>
      <c r="BQ8" s="116" t="b">
        <v>0</v>
      </c>
      <c r="BR8" s="116" t="b">
        <v>0</v>
      </c>
      <c r="BS8" s="116" t="b">
        <v>0</v>
      </c>
      <c r="BT8" s="116" t="b">
        <v>0</v>
      </c>
      <c r="BU8" s="116" t="b">
        <v>0</v>
      </c>
      <c r="BV8" s="116" t="b">
        <v>0</v>
      </c>
      <c r="BW8" s="116" t="b">
        <v>1</v>
      </c>
      <c r="BX8" s="116" t="b">
        <v>0</v>
      </c>
      <c r="BY8" s="116" t="b">
        <v>1</v>
      </c>
      <c r="BZ8" s="116" t="b">
        <v>0</v>
      </c>
      <c r="CA8" s="116" t="b">
        <v>1</v>
      </c>
      <c r="CB8" s="116" t="b">
        <v>0</v>
      </c>
      <c r="CC8" s="116" t="b">
        <v>0</v>
      </c>
      <c r="CD8" s="116" t="b">
        <v>0</v>
      </c>
      <c r="CE8" s="116" t="b">
        <v>0</v>
      </c>
      <c r="CF8" s="116" t="b">
        <v>0</v>
      </c>
      <c r="CG8" s="116" t="b">
        <v>0</v>
      </c>
      <c r="CH8" s="116" t="b">
        <v>1</v>
      </c>
      <c r="CI8" s="116" t="b">
        <v>0</v>
      </c>
      <c r="CJ8" s="116" t="b">
        <v>0</v>
      </c>
      <c r="CK8" s="116" t="b">
        <v>0</v>
      </c>
      <c r="CL8" s="116" t="b">
        <v>1</v>
      </c>
      <c r="CM8" s="116" t="b">
        <v>1</v>
      </c>
      <c r="CN8" s="116" t="b">
        <v>1</v>
      </c>
    </row>
    <row r="9">
      <c r="A9" s="113" t="s">
        <v>984</v>
      </c>
      <c r="B9" s="113">
        <v>6.267414545E9</v>
      </c>
      <c r="C9" s="113" t="s">
        <v>985</v>
      </c>
      <c r="D9" s="113" t="s">
        <v>22</v>
      </c>
      <c r="F9" s="113" t="b">
        <v>1</v>
      </c>
      <c r="G9" s="113" t="b">
        <v>1</v>
      </c>
      <c r="H9" s="113" t="b">
        <v>1</v>
      </c>
      <c r="I9" s="113" t="b">
        <v>1</v>
      </c>
      <c r="J9" s="113" t="b">
        <v>1</v>
      </c>
      <c r="K9" s="113" t="b">
        <v>1</v>
      </c>
      <c r="L9" s="113" t="b">
        <v>1</v>
      </c>
      <c r="M9" s="113" t="b">
        <v>1</v>
      </c>
      <c r="N9" s="113" t="b">
        <v>1</v>
      </c>
      <c r="O9" s="113" t="b">
        <v>1</v>
      </c>
      <c r="P9" s="113" t="b">
        <v>1</v>
      </c>
      <c r="Q9" s="113" t="b">
        <v>0</v>
      </c>
      <c r="R9" s="113" t="b">
        <v>1</v>
      </c>
      <c r="S9" s="113" t="b">
        <v>1</v>
      </c>
      <c r="T9" s="113" t="b">
        <v>1</v>
      </c>
      <c r="U9" s="113" t="b">
        <v>1</v>
      </c>
      <c r="V9" s="113" t="b">
        <v>1</v>
      </c>
      <c r="W9" s="113" t="b">
        <v>1</v>
      </c>
      <c r="X9" s="113" t="b">
        <v>1</v>
      </c>
      <c r="Y9" s="113" t="b">
        <v>1</v>
      </c>
      <c r="Z9" s="113" t="b">
        <v>1</v>
      </c>
      <c r="AA9" s="113" t="b">
        <v>1</v>
      </c>
      <c r="AB9" s="113" t="b">
        <v>1</v>
      </c>
      <c r="AC9" s="113" t="b">
        <v>1</v>
      </c>
      <c r="AD9" s="113" t="b">
        <v>1</v>
      </c>
      <c r="AE9" s="113" t="b">
        <v>1</v>
      </c>
      <c r="AF9" s="113" t="b">
        <v>1</v>
      </c>
      <c r="AG9" s="113" t="b">
        <v>1</v>
      </c>
      <c r="AH9" s="113" t="b">
        <v>1</v>
      </c>
      <c r="AI9" s="113" t="b">
        <v>1</v>
      </c>
      <c r="AJ9" s="113" t="b">
        <v>1</v>
      </c>
      <c r="AK9" s="113" t="b">
        <v>1</v>
      </c>
      <c r="AL9" s="113" t="b">
        <v>1</v>
      </c>
      <c r="AM9" s="113" t="b">
        <v>1</v>
      </c>
      <c r="AN9" s="113" t="b">
        <v>1</v>
      </c>
      <c r="AO9" s="113" t="b">
        <v>1</v>
      </c>
      <c r="AP9" s="113" t="b">
        <v>1</v>
      </c>
      <c r="AQ9" s="113" t="b">
        <v>1</v>
      </c>
      <c r="AR9" s="113" t="b">
        <v>1</v>
      </c>
      <c r="AS9" s="113" t="b">
        <v>1</v>
      </c>
      <c r="AT9" s="113" t="b">
        <v>1</v>
      </c>
      <c r="AU9" s="113" t="b">
        <v>1</v>
      </c>
      <c r="AV9" s="113" t="b">
        <v>1</v>
      </c>
      <c r="AW9" s="113" t="b">
        <v>1</v>
      </c>
      <c r="AX9" s="113" t="b">
        <v>1</v>
      </c>
      <c r="AY9" s="113" t="b">
        <v>1</v>
      </c>
      <c r="AZ9" s="113" t="b">
        <v>1</v>
      </c>
      <c r="BA9" s="113" t="b">
        <v>1</v>
      </c>
      <c r="BB9" s="113" t="b">
        <v>0</v>
      </c>
      <c r="BC9" s="113" t="b">
        <v>1</v>
      </c>
      <c r="BD9" s="113" t="b">
        <v>1</v>
      </c>
      <c r="BE9" s="113" t="b">
        <v>1</v>
      </c>
      <c r="BF9" s="113" t="b">
        <v>1</v>
      </c>
      <c r="BG9" s="113" t="b">
        <v>1</v>
      </c>
      <c r="BH9" s="113" t="b">
        <v>0</v>
      </c>
      <c r="BI9" s="113" t="b">
        <v>0</v>
      </c>
      <c r="BJ9" s="113" t="b">
        <v>0</v>
      </c>
      <c r="BK9" s="113" t="b">
        <v>0</v>
      </c>
      <c r="BL9" s="113" t="b">
        <v>1</v>
      </c>
      <c r="BM9" s="113" t="b">
        <v>0</v>
      </c>
      <c r="BN9" s="113" t="b">
        <v>1</v>
      </c>
      <c r="BO9" s="113" t="b">
        <v>1</v>
      </c>
      <c r="BP9" s="113" t="b">
        <v>1</v>
      </c>
      <c r="BQ9" s="113" t="b">
        <v>1</v>
      </c>
      <c r="BR9" s="113" t="b">
        <v>1</v>
      </c>
      <c r="BS9" s="113" t="b">
        <v>0</v>
      </c>
      <c r="BT9" s="113" t="b">
        <v>0</v>
      </c>
      <c r="BU9" s="113" t="b">
        <v>1</v>
      </c>
      <c r="BV9" s="113" t="b">
        <v>1</v>
      </c>
      <c r="BW9" s="113" t="b">
        <v>1</v>
      </c>
      <c r="BX9" s="113" t="b">
        <v>1</v>
      </c>
      <c r="BY9" s="113" t="b">
        <v>1</v>
      </c>
      <c r="BZ9" s="113" t="b">
        <v>1</v>
      </c>
      <c r="CA9" s="113" t="b">
        <v>1</v>
      </c>
      <c r="CB9" s="113" t="b">
        <v>1</v>
      </c>
      <c r="CC9" s="113" t="b">
        <v>0</v>
      </c>
      <c r="CD9" s="113" t="b">
        <v>0</v>
      </c>
      <c r="CE9" s="113" t="b">
        <v>1</v>
      </c>
      <c r="CF9" s="113" t="b">
        <v>1</v>
      </c>
      <c r="CG9" s="113" t="b">
        <v>0</v>
      </c>
      <c r="CH9" s="113" t="b">
        <v>1</v>
      </c>
      <c r="CI9" s="113" t="b">
        <v>1</v>
      </c>
      <c r="CJ9" s="113" t="b">
        <v>1</v>
      </c>
      <c r="CK9" s="113" t="b">
        <v>1</v>
      </c>
      <c r="CL9" s="113" t="b">
        <v>1</v>
      </c>
      <c r="CM9" s="113" t="b">
        <v>1</v>
      </c>
      <c r="CN9" s="113" t="b">
        <v>1</v>
      </c>
    </row>
    <row r="10">
      <c r="A10" s="113" t="s">
        <v>986</v>
      </c>
      <c r="B10" s="113">
        <v>9.981422256E9</v>
      </c>
      <c r="C10" s="113" t="s">
        <v>987</v>
      </c>
      <c r="D10" s="113" t="s">
        <v>22</v>
      </c>
      <c r="F10" s="113" t="b">
        <v>1</v>
      </c>
      <c r="G10" s="113" t="b">
        <v>1</v>
      </c>
      <c r="H10" s="113" t="b">
        <v>1</v>
      </c>
      <c r="I10" s="113" t="b">
        <v>1</v>
      </c>
      <c r="J10" s="113" t="b">
        <v>1</v>
      </c>
      <c r="K10" s="113" t="b">
        <v>1</v>
      </c>
      <c r="L10" s="113" t="b">
        <v>1</v>
      </c>
      <c r="M10" s="113" t="b">
        <v>1</v>
      </c>
      <c r="N10" s="113" t="b">
        <v>1</v>
      </c>
      <c r="O10" s="113" t="b">
        <v>1</v>
      </c>
      <c r="P10" s="113" t="b">
        <v>1</v>
      </c>
      <c r="Q10" s="113" t="b">
        <v>1</v>
      </c>
      <c r="R10" s="113" t="b">
        <v>1</v>
      </c>
      <c r="S10" s="113" t="b">
        <v>1</v>
      </c>
      <c r="T10" s="113" t="b">
        <v>1</v>
      </c>
      <c r="U10" s="113" t="b">
        <v>1</v>
      </c>
      <c r="V10" s="113" t="b">
        <v>1</v>
      </c>
      <c r="W10" s="113" t="b">
        <v>1</v>
      </c>
      <c r="X10" s="113" t="b">
        <v>1</v>
      </c>
      <c r="Y10" s="113" t="b">
        <v>1</v>
      </c>
      <c r="Z10" s="113" t="b">
        <v>1</v>
      </c>
      <c r="AA10" s="113" t="b">
        <v>1</v>
      </c>
      <c r="AB10" s="113" t="b">
        <v>1</v>
      </c>
      <c r="AC10" s="113" t="b">
        <v>1</v>
      </c>
      <c r="AD10" s="113" t="b">
        <v>1</v>
      </c>
      <c r="AE10" s="113" t="b">
        <v>1</v>
      </c>
      <c r="AF10" s="113" t="b">
        <v>1</v>
      </c>
      <c r="AG10" s="113" t="b">
        <v>1</v>
      </c>
      <c r="AH10" s="113" t="b">
        <v>1</v>
      </c>
      <c r="AI10" s="113" t="b">
        <v>1</v>
      </c>
      <c r="AJ10" s="113" t="b">
        <v>1</v>
      </c>
      <c r="AK10" s="113" t="b">
        <v>1</v>
      </c>
      <c r="AL10" s="113" t="b">
        <v>1</v>
      </c>
      <c r="AM10" s="113" t="b">
        <v>1</v>
      </c>
      <c r="AN10" s="113" t="b">
        <v>1</v>
      </c>
      <c r="AO10" s="113" t="b">
        <v>1</v>
      </c>
      <c r="AP10" s="113" t="b">
        <v>1</v>
      </c>
      <c r="AQ10" s="113" t="b">
        <v>1</v>
      </c>
      <c r="AR10" s="113" t="b">
        <v>1</v>
      </c>
      <c r="AS10" s="113" t="b">
        <v>1</v>
      </c>
      <c r="AT10" s="113" t="b">
        <v>1</v>
      </c>
      <c r="AU10" s="113" t="b">
        <v>1</v>
      </c>
      <c r="AV10" s="113" t="b">
        <v>1</v>
      </c>
      <c r="AW10" s="113" t="b">
        <v>1</v>
      </c>
      <c r="AX10" s="113" t="b">
        <v>1</v>
      </c>
      <c r="AY10" s="113" t="b">
        <v>1</v>
      </c>
      <c r="AZ10" s="113" t="b">
        <v>1</v>
      </c>
      <c r="BA10" s="113" t="b">
        <v>1</v>
      </c>
      <c r="BB10" s="113" t="b">
        <v>1</v>
      </c>
      <c r="BC10" s="113" t="b">
        <v>1</v>
      </c>
      <c r="BD10" s="113" t="b">
        <v>1</v>
      </c>
      <c r="BE10" s="113" t="b">
        <v>1</v>
      </c>
      <c r="BF10" s="113" t="b">
        <v>1</v>
      </c>
      <c r="BG10" s="113" t="b">
        <v>1</v>
      </c>
      <c r="BH10" s="113" t="b">
        <v>1</v>
      </c>
      <c r="BI10" s="113" t="b">
        <v>1</v>
      </c>
      <c r="BJ10" s="113" t="b">
        <v>1</v>
      </c>
      <c r="BK10" s="113" t="b">
        <v>1</v>
      </c>
      <c r="BL10" s="113" t="b">
        <v>1</v>
      </c>
      <c r="BM10" s="113" t="b">
        <v>1</v>
      </c>
      <c r="BN10" s="113" t="b">
        <v>1</v>
      </c>
      <c r="BO10" s="113" t="b">
        <v>1</v>
      </c>
      <c r="BP10" s="113" t="b">
        <v>1</v>
      </c>
      <c r="BQ10" s="113" t="b">
        <v>1</v>
      </c>
      <c r="BR10" s="113" t="b">
        <v>1</v>
      </c>
      <c r="BS10" s="113" t="b">
        <v>1</v>
      </c>
      <c r="BT10" s="113" t="b">
        <v>1</v>
      </c>
      <c r="BU10" s="113" t="b">
        <v>1</v>
      </c>
      <c r="BV10" s="113" t="b">
        <v>1</v>
      </c>
      <c r="BW10" s="113" t="b">
        <v>1</v>
      </c>
      <c r="BX10" s="113" t="b">
        <v>1</v>
      </c>
      <c r="BY10" s="113" t="b">
        <v>1</v>
      </c>
      <c r="BZ10" s="113" t="b">
        <v>1</v>
      </c>
      <c r="CA10" s="113" t="b">
        <v>1</v>
      </c>
      <c r="CB10" s="113" t="b">
        <v>1</v>
      </c>
      <c r="CC10" s="113" t="b">
        <v>0</v>
      </c>
      <c r="CD10" s="113" t="b">
        <v>0</v>
      </c>
      <c r="CE10" s="113" t="b">
        <v>0</v>
      </c>
      <c r="CF10" s="113" t="b">
        <v>0</v>
      </c>
      <c r="CG10" s="113" t="b">
        <v>0</v>
      </c>
      <c r="CH10" s="113" t="b">
        <v>0</v>
      </c>
      <c r="CI10" s="113" t="b">
        <v>0</v>
      </c>
      <c r="CJ10" s="113" t="b">
        <v>0</v>
      </c>
      <c r="CK10" s="113" t="b">
        <v>0</v>
      </c>
      <c r="CL10" s="113" t="b">
        <v>1</v>
      </c>
      <c r="CM10" s="113" t="b">
        <v>1</v>
      </c>
      <c r="CN10" s="113" t="b">
        <v>1</v>
      </c>
    </row>
    <row r="11">
      <c r="A11" s="117" t="s">
        <v>988</v>
      </c>
      <c r="B11" s="113">
        <v>6.265896234E9</v>
      </c>
      <c r="C11" s="118" t="s">
        <v>989</v>
      </c>
      <c r="D11" s="113" t="s">
        <v>22</v>
      </c>
      <c r="F11" s="113" t="b">
        <v>1</v>
      </c>
      <c r="G11" s="113" t="b">
        <v>1</v>
      </c>
      <c r="H11" s="113" t="b">
        <v>1</v>
      </c>
      <c r="I11" s="113" t="b">
        <v>1</v>
      </c>
      <c r="J11" s="113" t="b">
        <v>1</v>
      </c>
      <c r="K11" s="113" t="b">
        <v>1</v>
      </c>
      <c r="L11" s="113" t="b">
        <v>1</v>
      </c>
      <c r="M11" s="113" t="b">
        <v>1</v>
      </c>
      <c r="N11" s="113" t="b">
        <v>1</v>
      </c>
      <c r="O11" s="113" t="b">
        <v>1</v>
      </c>
      <c r="P11" s="113" t="b">
        <v>1</v>
      </c>
      <c r="Q11" s="113" t="b">
        <v>1</v>
      </c>
      <c r="R11" s="113" t="b">
        <v>1</v>
      </c>
      <c r="S11" s="113" t="b">
        <v>1</v>
      </c>
      <c r="T11" s="113" t="b">
        <v>1</v>
      </c>
      <c r="U11" s="113" t="b">
        <v>1</v>
      </c>
      <c r="V11" s="113" t="b">
        <v>1</v>
      </c>
      <c r="W11" s="113" t="b">
        <v>1</v>
      </c>
      <c r="X11" s="113" t="b">
        <v>1</v>
      </c>
      <c r="Y11" s="113" t="b">
        <v>1</v>
      </c>
      <c r="Z11" s="113" t="b">
        <v>1</v>
      </c>
      <c r="AA11" s="113" t="b">
        <v>1</v>
      </c>
      <c r="AB11" s="113" t="b">
        <v>1</v>
      </c>
      <c r="AC11" s="113" t="b">
        <v>1</v>
      </c>
      <c r="AD11" s="113" t="b">
        <v>1</v>
      </c>
      <c r="AE11" s="113" t="b">
        <v>1</v>
      </c>
      <c r="AF11" s="113" t="b">
        <v>1</v>
      </c>
      <c r="AG11" s="113" t="b">
        <v>1</v>
      </c>
      <c r="AH11" s="113" t="b">
        <v>1</v>
      </c>
      <c r="AI11" s="113" t="b">
        <v>1</v>
      </c>
      <c r="AJ11" s="113" t="b">
        <v>1</v>
      </c>
      <c r="AK11" s="113" t="b">
        <v>1</v>
      </c>
      <c r="AL11" s="113" t="b">
        <v>1</v>
      </c>
      <c r="AM11" s="113" t="b">
        <v>1</v>
      </c>
      <c r="AN11" s="113" t="b">
        <v>1</v>
      </c>
      <c r="AO11" s="113" t="b">
        <v>1</v>
      </c>
      <c r="AP11" s="113" t="b">
        <v>1</v>
      </c>
      <c r="AQ11" s="113" t="b">
        <v>1</v>
      </c>
      <c r="AR11" s="113" t="b">
        <v>1</v>
      </c>
      <c r="AS11" s="113" t="b">
        <v>1</v>
      </c>
      <c r="AT11" s="113" t="b">
        <v>1</v>
      </c>
      <c r="AU11" s="113" t="b">
        <v>1</v>
      </c>
      <c r="AV11" s="113" t="b">
        <v>1</v>
      </c>
      <c r="AW11" s="113" t="b">
        <v>1</v>
      </c>
      <c r="AX11" s="113" t="b">
        <v>1</v>
      </c>
      <c r="AY11" s="113" t="b">
        <v>1</v>
      </c>
      <c r="AZ11" s="113" t="b">
        <v>1</v>
      </c>
      <c r="BA11" s="113" t="b">
        <v>1</v>
      </c>
      <c r="BB11" s="113" t="b">
        <v>1</v>
      </c>
      <c r="BC11" s="113" t="b">
        <v>1</v>
      </c>
      <c r="BD11" s="113" t="b">
        <v>1</v>
      </c>
      <c r="BE11" s="113" t="b">
        <v>1</v>
      </c>
      <c r="BF11" s="113" t="b">
        <v>1</v>
      </c>
      <c r="BG11" s="113" t="b">
        <v>1</v>
      </c>
      <c r="BH11" s="113" t="b">
        <v>1</v>
      </c>
      <c r="BI11" s="113" t="b">
        <v>1</v>
      </c>
      <c r="BJ11" s="113" t="b">
        <v>1</v>
      </c>
      <c r="BK11" s="113" t="b">
        <v>0</v>
      </c>
      <c r="BL11" s="113" t="b">
        <v>1</v>
      </c>
      <c r="BM11" s="113" t="b">
        <v>0</v>
      </c>
      <c r="BN11" s="113" t="b">
        <v>1</v>
      </c>
      <c r="BO11" s="113" t="b">
        <v>1</v>
      </c>
      <c r="BP11" s="113" t="b">
        <v>1</v>
      </c>
      <c r="BQ11" s="113" t="b">
        <v>1</v>
      </c>
      <c r="BR11" s="113" t="b">
        <v>1</v>
      </c>
      <c r="BS11" s="113" t="b">
        <v>1</v>
      </c>
      <c r="BT11" s="113" t="b">
        <v>1</v>
      </c>
      <c r="BU11" s="113" t="b">
        <v>1</v>
      </c>
      <c r="BV11" s="113" t="b">
        <v>1</v>
      </c>
      <c r="BW11" s="113" t="b">
        <v>1</v>
      </c>
      <c r="BX11" s="113" t="b">
        <v>1</v>
      </c>
      <c r="BY11" s="113" t="b">
        <v>1</v>
      </c>
      <c r="BZ11" s="113" t="b">
        <v>1</v>
      </c>
      <c r="CA11" s="113" t="b">
        <v>1</v>
      </c>
      <c r="CB11" s="113" t="b">
        <v>1</v>
      </c>
      <c r="CC11" s="113" t="b">
        <v>0</v>
      </c>
      <c r="CD11" s="113" t="b">
        <v>0</v>
      </c>
      <c r="CE11" s="113" t="b">
        <v>1</v>
      </c>
      <c r="CF11" s="113" t="b">
        <v>1</v>
      </c>
      <c r="CG11" s="113" t="b">
        <v>0</v>
      </c>
      <c r="CH11" s="113" t="b">
        <v>0</v>
      </c>
      <c r="CI11" s="113" t="b">
        <v>1</v>
      </c>
      <c r="CJ11" s="113" t="b">
        <v>1</v>
      </c>
      <c r="CK11" s="113" t="b">
        <v>1</v>
      </c>
      <c r="CL11" s="113" t="b">
        <v>1</v>
      </c>
      <c r="CM11" s="113" t="b">
        <v>1</v>
      </c>
      <c r="CN11" s="113" t="b">
        <v>1</v>
      </c>
    </row>
    <row r="12">
      <c r="A12" s="113" t="s">
        <v>990</v>
      </c>
      <c r="B12" s="113">
        <v>7.985079154E9</v>
      </c>
      <c r="C12" s="113" t="s">
        <v>991</v>
      </c>
      <c r="D12" s="113" t="s">
        <v>22</v>
      </c>
      <c r="F12" s="113" t="b">
        <v>0</v>
      </c>
      <c r="G12" s="113" t="b">
        <v>0</v>
      </c>
      <c r="H12" s="113" t="b">
        <v>0</v>
      </c>
      <c r="I12" s="113" t="b">
        <v>0</v>
      </c>
      <c r="J12" s="113" t="b">
        <v>0</v>
      </c>
      <c r="K12" s="113" t="b">
        <v>0</v>
      </c>
      <c r="L12" s="113" t="b">
        <v>0</v>
      </c>
      <c r="M12" s="113" t="b">
        <v>0</v>
      </c>
      <c r="N12" s="113" t="b">
        <v>0</v>
      </c>
      <c r="O12" s="113" t="b">
        <v>0</v>
      </c>
      <c r="P12" s="113" t="b">
        <v>0</v>
      </c>
      <c r="Q12" s="113" t="b">
        <v>0</v>
      </c>
      <c r="R12" s="113" t="b">
        <v>0</v>
      </c>
      <c r="S12" s="113" t="b">
        <v>0</v>
      </c>
      <c r="T12" s="113" t="b">
        <v>0</v>
      </c>
      <c r="U12" s="113" t="b">
        <v>0</v>
      </c>
      <c r="V12" s="113" t="b">
        <v>0</v>
      </c>
      <c r="W12" s="113" t="b">
        <v>0</v>
      </c>
      <c r="X12" s="113" t="b">
        <v>0</v>
      </c>
      <c r="Y12" s="113" t="b">
        <v>0</v>
      </c>
      <c r="Z12" s="113" t="b">
        <v>0</v>
      </c>
      <c r="AA12" s="113" t="b">
        <v>1</v>
      </c>
      <c r="AB12" s="113" t="b">
        <v>1</v>
      </c>
      <c r="AC12" s="113" t="b">
        <v>1</v>
      </c>
      <c r="AD12" s="113" t="b">
        <v>1</v>
      </c>
      <c r="AE12" s="113" t="b">
        <v>1</v>
      </c>
      <c r="AF12" s="113" t="b">
        <v>1</v>
      </c>
      <c r="AG12" s="113" t="b">
        <v>1</v>
      </c>
      <c r="AH12" s="113" t="b">
        <v>0</v>
      </c>
      <c r="AI12" s="113" t="b">
        <v>1</v>
      </c>
      <c r="AJ12" s="113" t="b">
        <v>1</v>
      </c>
      <c r="AK12" s="113" t="b">
        <v>1</v>
      </c>
      <c r="AL12" s="113" t="b">
        <v>1</v>
      </c>
      <c r="AM12" s="113" t="b">
        <v>0</v>
      </c>
      <c r="AN12" s="113" t="b">
        <v>0</v>
      </c>
      <c r="AO12" s="113" t="b">
        <v>0</v>
      </c>
      <c r="AP12" s="113" t="b">
        <v>0</v>
      </c>
      <c r="AQ12" s="113" t="b">
        <v>1</v>
      </c>
      <c r="AR12" s="113" t="b">
        <v>1</v>
      </c>
      <c r="AS12" s="113" t="b">
        <v>0</v>
      </c>
      <c r="AT12" s="113" t="b">
        <v>1</v>
      </c>
      <c r="AU12" s="113" t="b">
        <v>1</v>
      </c>
      <c r="AV12" s="113" t="b">
        <v>1</v>
      </c>
      <c r="AW12" s="113" t="b">
        <v>1</v>
      </c>
      <c r="AX12" s="113" t="b">
        <v>1</v>
      </c>
      <c r="AY12" s="113" t="b">
        <v>1</v>
      </c>
      <c r="AZ12" s="113" t="b">
        <v>0</v>
      </c>
      <c r="BA12" s="113" t="b">
        <v>1</v>
      </c>
      <c r="BB12" s="113" t="b">
        <v>1</v>
      </c>
      <c r="BC12" s="113" t="b">
        <v>1</v>
      </c>
      <c r="BD12" s="113" t="b">
        <v>1</v>
      </c>
      <c r="BE12" s="113" t="b">
        <v>1</v>
      </c>
      <c r="BF12" s="113" t="b">
        <v>0</v>
      </c>
      <c r="BG12" s="113" t="b">
        <v>0</v>
      </c>
      <c r="BH12" s="113" t="b">
        <v>0</v>
      </c>
      <c r="BI12" s="113" t="b">
        <v>1</v>
      </c>
      <c r="BJ12" s="113" t="b">
        <v>1</v>
      </c>
      <c r="BK12" s="113" t="b">
        <v>0</v>
      </c>
      <c r="BL12" s="113" t="b">
        <v>1</v>
      </c>
      <c r="BM12" s="113" t="b">
        <v>1</v>
      </c>
      <c r="BN12" s="113" t="b">
        <v>0</v>
      </c>
      <c r="BO12" s="113" t="b">
        <v>1</v>
      </c>
      <c r="BP12" s="113" t="b">
        <v>0</v>
      </c>
      <c r="BQ12" s="113" t="b">
        <v>0</v>
      </c>
      <c r="BR12" s="113" t="b">
        <v>1</v>
      </c>
      <c r="BS12" s="113" t="b">
        <v>1</v>
      </c>
      <c r="BT12" s="113" t="b">
        <v>1</v>
      </c>
      <c r="BU12" s="113" t="b">
        <v>0</v>
      </c>
      <c r="BV12" s="113" t="b">
        <v>0</v>
      </c>
      <c r="BW12" s="113" t="b">
        <v>1</v>
      </c>
      <c r="BX12" s="113" t="b">
        <v>1</v>
      </c>
      <c r="BY12" s="113" t="b">
        <v>1</v>
      </c>
      <c r="BZ12" s="113" t="b">
        <v>1</v>
      </c>
      <c r="CA12" s="113" t="b">
        <v>1</v>
      </c>
      <c r="CB12" s="113" t="b">
        <v>1</v>
      </c>
      <c r="CC12" s="113" t="b">
        <v>1</v>
      </c>
      <c r="CD12" s="113" t="b">
        <v>1</v>
      </c>
      <c r="CE12" s="113" t="b">
        <v>1</v>
      </c>
      <c r="CF12" s="113" t="b">
        <v>0</v>
      </c>
      <c r="CG12" s="113" t="b">
        <v>0</v>
      </c>
      <c r="CH12" s="113" t="b">
        <v>0</v>
      </c>
      <c r="CI12" s="113" t="b">
        <v>0</v>
      </c>
      <c r="CJ12" s="113" t="b">
        <v>0</v>
      </c>
      <c r="CK12" s="113" t="b">
        <v>1</v>
      </c>
      <c r="CL12" s="113" t="b">
        <v>0</v>
      </c>
      <c r="CM12" s="113" t="b">
        <v>1</v>
      </c>
      <c r="CN12" s="113" t="b">
        <v>1</v>
      </c>
    </row>
    <row r="13">
      <c r="A13" s="113" t="s">
        <v>992</v>
      </c>
      <c r="B13" s="113">
        <v>7.389958192E9</v>
      </c>
      <c r="C13" s="113" t="s">
        <v>15</v>
      </c>
      <c r="D13" s="113" t="s">
        <v>22</v>
      </c>
      <c r="F13" s="113" t="b">
        <v>0</v>
      </c>
      <c r="G13" s="113" t="b">
        <v>0</v>
      </c>
      <c r="H13" s="113" t="b">
        <v>0</v>
      </c>
      <c r="I13" s="113" t="b">
        <v>0</v>
      </c>
      <c r="J13" s="113" t="b">
        <v>0</v>
      </c>
      <c r="K13" s="113" t="b">
        <v>0</v>
      </c>
      <c r="L13" s="113" t="b">
        <v>0</v>
      </c>
      <c r="M13" s="113" t="b">
        <v>0</v>
      </c>
      <c r="N13" s="113" t="b">
        <v>0</v>
      </c>
      <c r="O13" s="113" t="b">
        <v>0</v>
      </c>
      <c r="P13" s="113" t="b">
        <v>0</v>
      </c>
      <c r="Q13" s="113" t="b">
        <v>0</v>
      </c>
      <c r="R13" s="113" t="b">
        <v>0</v>
      </c>
      <c r="S13" s="113" t="b">
        <v>0</v>
      </c>
      <c r="T13" s="113" t="b">
        <v>0</v>
      </c>
      <c r="U13" s="113" t="b">
        <v>0</v>
      </c>
      <c r="V13" s="113" t="b">
        <v>0</v>
      </c>
      <c r="W13" s="113" t="b">
        <v>0</v>
      </c>
      <c r="X13" s="113" t="b">
        <v>0</v>
      </c>
      <c r="Y13" s="113" t="b">
        <v>0</v>
      </c>
      <c r="Z13" s="113" t="b">
        <v>0</v>
      </c>
      <c r="AA13" s="113" t="b">
        <v>0</v>
      </c>
      <c r="AB13" s="113" t="b">
        <v>0</v>
      </c>
      <c r="AC13" s="113" t="b">
        <v>0</v>
      </c>
      <c r="AD13" s="113" t="b">
        <v>0</v>
      </c>
      <c r="AE13" s="113" t="b">
        <v>0</v>
      </c>
      <c r="AF13" s="113" t="b">
        <v>0</v>
      </c>
      <c r="AG13" s="113" t="b">
        <v>0</v>
      </c>
      <c r="AH13" s="113" t="b">
        <v>0</v>
      </c>
      <c r="AI13" s="113" t="b">
        <v>0</v>
      </c>
      <c r="AJ13" s="113" t="b">
        <v>0</v>
      </c>
      <c r="AK13" s="113" t="b">
        <v>0</v>
      </c>
      <c r="AL13" s="113" t="b">
        <v>0</v>
      </c>
      <c r="AM13" s="113" t="b">
        <v>0</v>
      </c>
      <c r="AN13" s="113" t="b">
        <v>0</v>
      </c>
      <c r="AO13" s="113" t="b">
        <v>0</v>
      </c>
      <c r="AP13" s="113" t="b">
        <v>0</v>
      </c>
      <c r="AQ13" s="113" t="b">
        <v>0</v>
      </c>
      <c r="AR13" s="113" t="b">
        <v>0</v>
      </c>
      <c r="AS13" s="113" t="b">
        <v>0</v>
      </c>
      <c r="AT13" s="113" t="b">
        <v>0</v>
      </c>
      <c r="AU13" s="113" t="b">
        <v>0</v>
      </c>
      <c r="AV13" s="113" t="b">
        <v>0</v>
      </c>
      <c r="AW13" s="113" t="b">
        <v>0</v>
      </c>
      <c r="AX13" s="113" t="b">
        <v>0</v>
      </c>
      <c r="AY13" s="113" t="b">
        <v>0</v>
      </c>
      <c r="AZ13" s="113" t="b">
        <v>0</v>
      </c>
      <c r="BA13" s="113" t="b">
        <v>0</v>
      </c>
      <c r="BB13" s="113" t="b">
        <v>1</v>
      </c>
      <c r="BC13" s="113" t="b">
        <v>1</v>
      </c>
      <c r="BD13" s="113" t="b">
        <v>1</v>
      </c>
      <c r="BE13" s="113" t="b">
        <v>0</v>
      </c>
      <c r="BF13" s="113" t="b">
        <v>0</v>
      </c>
      <c r="BG13" s="113" t="b">
        <v>0</v>
      </c>
      <c r="BH13" s="113" t="b">
        <v>0</v>
      </c>
      <c r="BI13" s="113" t="b">
        <v>1</v>
      </c>
      <c r="BJ13" s="113" t="b">
        <v>1</v>
      </c>
      <c r="BK13" s="113" t="b">
        <v>0</v>
      </c>
      <c r="BL13" s="113" t="b">
        <v>1</v>
      </c>
      <c r="BM13" s="113" t="b">
        <v>1</v>
      </c>
      <c r="BN13" s="113" t="b">
        <v>1</v>
      </c>
      <c r="BO13" s="113" t="b">
        <v>1</v>
      </c>
      <c r="BP13" s="113" t="b">
        <v>1</v>
      </c>
      <c r="BQ13" s="113" t="b">
        <v>1</v>
      </c>
      <c r="BR13" s="113" t="b">
        <v>1</v>
      </c>
      <c r="BS13" s="113" t="b">
        <v>1</v>
      </c>
      <c r="BT13" s="113" t="b">
        <v>1</v>
      </c>
      <c r="BU13" s="113" t="b">
        <v>1</v>
      </c>
      <c r="BV13" s="113" t="b">
        <v>1</v>
      </c>
      <c r="BW13" s="113" t="b">
        <v>1</v>
      </c>
      <c r="BX13" s="113" t="b">
        <v>0</v>
      </c>
      <c r="BY13" s="113" t="b">
        <v>0</v>
      </c>
      <c r="BZ13" s="113" t="b">
        <v>0</v>
      </c>
      <c r="CA13" s="113" t="b">
        <v>0</v>
      </c>
      <c r="CB13" s="113" t="b">
        <v>0</v>
      </c>
      <c r="CC13" s="113" t="b">
        <v>1</v>
      </c>
      <c r="CD13" s="113" t="b">
        <v>1</v>
      </c>
      <c r="CE13" s="113" t="b">
        <v>0</v>
      </c>
      <c r="CF13" s="113" t="b">
        <v>1</v>
      </c>
      <c r="CG13" s="113" t="b">
        <v>0</v>
      </c>
      <c r="CH13" s="113" t="b">
        <v>0</v>
      </c>
      <c r="CI13" s="113" t="b">
        <v>1</v>
      </c>
      <c r="CJ13" s="113" t="b">
        <v>0</v>
      </c>
      <c r="CK13" s="113" t="b">
        <v>0</v>
      </c>
      <c r="CL13" s="113" t="b">
        <v>0</v>
      </c>
      <c r="CM13" s="113" t="b">
        <v>0</v>
      </c>
      <c r="CN13" s="113" t="b">
        <v>0</v>
      </c>
    </row>
    <row r="14">
      <c r="A14" s="113" t="s">
        <v>993</v>
      </c>
      <c r="B14" s="113">
        <v>8.349256158E9</v>
      </c>
      <c r="C14" s="113" t="s">
        <v>994</v>
      </c>
      <c r="D14" s="113" t="s">
        <v>22</v>
      </c>
      <c r="F14" s="113" t="b">
        <v>1</v>
      </c>
      <c r="G14" s="113" t="b">
        <v>1</v>
      </c>
      <c r="H14" s="113" t="b">
        <v>1</v>
      </c>
      <c r="I14" s="113" t="b">
        <v>1</v>
      </c>
      <c r="J14" s="113" t="b">
        <v>1</v>
      </c>
      <c r="K14" s="113" t="b">
        <v>1</v>
      </c>
      <c r="L14" s="113" t="b">
        <v>1</v>
      </c>
      <c r="M14" s="113" t="b">
        <v>1</v>
      </c>
      <c r="N14" s="113" t="b">
        <v>1</v>
      </c>
      <c r="O14" s="113" t="b">
        <v>1</v>
      </c>
      <c r="P14" s="113" t="b">
        <v>1</v>
      </c>
      <c r="Q14" s="113" t="b">
        <v>1</v>
      </c>
      <c r="R14" s="113" t="b">
        <v>1</v>
      </c>
      <c r="S14" s="113" t="b">
        <v>1</v>
      </c>
      <c r="T14" s="113" t="b">
        <v>1</v>
      </c>
      <c r="U14" s="113" t="b">
        <v>1</v>
      </c>
      <c r="V14" s="113" t="b">
        <v>1</v>
      </c>
      <c r="W14" s="113" t="b">
        <v>1</v>
      </c>
      <c r="X14" s="113" t="b">
        <v>1</v>
      </c>
      <c r="Y14" s="113" t="b">
        <v>1</v>
      </c>
      <c r="Z14" s="113" t="b">
        <v>1</v>
      </c>
      <c r="AA14" s="113" t="b">
        <v>1</v>
      </c>
      <c r="AB14" s="113" t="b">
        <v>1</v>
      </c>
      <c r="AC14" s="113" t="b">
        <v>1</v>
      </c>
      <c r="AD14" s="113" t="b">
        <v>1</v>
      </c>
      <c r="AE14" s="113" t="b">
        <v>1</v>
      </c>
      <c r="AF14" s="113" t="b">
        <v>1</v>
      </c>
      <c r="AG14" s="113" t="b">
        <v>1</v>
      </c>
      <c r="AH14" s="113" t="b">
        <v>1</v>
      </c>
      <c r="AI14" s="113" t="b">
        <v>1</v>
      </c>
      <c r="AJ14" s="113" t="b">
        <v>1</v>
      </c>
      <c r="AK14" s="113" t="b">
        <v>1</v>
      </c>
      <c r="AL14" s="113" t="b">
        <v>1</v>
      </c>
      <c r="AM14" s="113" t="b">
        <v>0</v>
      </c>
      <c r="AN14" s="113" t="b">
        <v>0</v>
      </c>
      <c r="AO14" s="113" t="b">
        <v>0</v>
      </c>
      <c r="AP14" s="113" t="b">
        <v>1</v>
      </c>
      <c r="AQ14" s="113" t="b">
        <v>1</v>
      </c>
      <c r="AR14" s="113" t="b">
        <v>1</v>
      </c>
      <c r="AS14" s="113" t="b">
        <v>1</v>
      </c>
      <c r="AT14" s="113" t="b">
        <v>1</v>
      </c>
      <c r="AU14" s="113" t="b">
        <v>1</v>
      </c>
      <c r="AV14" s="113" t="b">
        <v>1</v>
      </c>
      <c r="AW14" s="113" t="b">
        <v>1</v>
      </c>
      <c r="AX14" s="113" t="b">
        <v>1</v>
      </c>
      <c r="AY14" s="113" t="b">
        <v>1</v>
      </c>
      <c r="AZ14" s="113" t="b">
        <v>1</v>
      </c>
      <c r="BA14" s="113" t="b">
        <v>1</v>
      </c>
      <c r="BB14" s="113" t="b">
        <v>1</v>
      </c>
      <c r="BC14" s="113" t="b">
        <v>1</v>
      </c>
      <c r="BD14" s="113" t="b">
        <v>1</v>
      </c>
      <c r="BE14" s="113" t="b">
        <v>1</v>
      </c>
      <c r="BF14" s="113" t="b">
        <v>1</v>
      </c>
      <c r="BG14" s="113" t="b">
        <v>1</v>
      </c>
      <c r="BH14" s="113" t="b">
        <v>1</v>
      </c>
      <c r="BI14" s="113" t="b">
        <v>1</v>
      </c>
      <c r="BJ14" s="113" t="b">
        <v>1</v>
      </c>
      <c r="BK14" s="113" t="b">
        <v>1</v>
      </c>
      <c r="BL14" s="113" t="b">
        <v>1</v>
      </c>
      <c r="BM14" s="113" t="b">
        <v>1</v>
      </c>
      <c r="BN14" s="113" t="b">
        <v>1</v>
      </c>
      <c r="BO14" s="113" t="b">
        <v>1</v>
      </c>
      <c r="BP14" s="113" t="b">
        <v>1</v>
      </c>
      <c r="BQ14" s="113" t="b">
        <v>1</v>
      </c>
      <c r="BR14" s="113" t="b">
        <v>0</v>
      </c>
      <c r="BS14" s="113" t="b">
        <v>0</v>
      </c>
      <c r="BT14" s="113" t="b">
        <v>0</v>
      </c>
      <c r="BU14" s="113" t="b">
        <v>1</v>
      </c>
      <c r="BV14" s="113" t="b">
        <v>0</v>
      </c>
      <c r="BW14" s="113" t="b">
        <v>0</v>
      </c>
      <c r="BX14" s="113" t="b">
        <v>0</v>
      </c>
      <c r="BY14" s="113" t="b">
        <v>1</v>
      </c>
      <c r="BZ14" s="113" t="b">
        <v>1</v>
      </c>
      <c r="CA14" s="113" t="b">
        <v>1</v>
      </c>
      <c r="CB14" s="113" t="b">
        <v>0</v>
      </c>
      <c r="CC14" s="113" t="b">
        <v>0</v>
      </c>
      <c r="CD14" s="113" t="b">
        <v>0</v>
      </c>
      <c r="CE14" s="113" t="b">
        <v>1</v>
      </c>
      <c r="CF14" s="113" t="b">
        <v>1</v>
      </c>
      <c r="CG14" s="113" t="b">
        <v>0</v>
      </c>
      <c r="CH14" s="113" t="b">
        <v>1</v>
      </c>
      <c r="CI14" s="113" t="b">
        <v>1</v>
      </c>
      <c r="CJ14" s="113" t="b">
        <v>1</v>
      </c>
      <c r="CK14" s="113" t="b">
        <v>1</v>
      </c>
      <c r="CL14" s="113" t="b">
        <v>1</v>
      </c>
      <c r="CM14" s="113" t="b">
        <v>1</v>
      </c>
      <c r="CN14" s="113" t="b">
        <v>1</v>
      </c>
    </row>
    <row r="15">
      <c r="A15" s="113" t="s">
        <v>995</v>
      </c>
      <c r="B15" s="113">
        <v>6.263760047E9</v>
      </c>
      <c r="C15" s="119" t="s">
        <v>996</v>
      </c>
      <c r="D15" s="113" t="s">
        <v>22</v>
      </c>
      <c r="F15" s="113" t="b">
        <v>1</v>
      </c>
      <c r="G15" s="113" t="b">
        <v>1</v>
      </c>
      <c r="H15" s="113" t="b">
        <v>1</v>
      </c>
      <c r="I15" s="113" t="b">
        <v>1</v>
      </c>
      <c r="J15" s="113" t="b">
        <v>1</v>
      </c>
      <c r="K15" s="113" t="b">
        <v>1</v>
      </c>
      <c r="L15" s="113" t="b">
        <v>1</v>
      </c>
      <c r="M15" s="113" t="b">
        <v>1</v>
      </c>
      <c r="N15" s="113" t="b">
        <v>1</v>
      </c>
      <c r="O15" s="113" t="b">
        <v>1</v>
      </c>
      <c r="P15" s="113" t="b">
        <v>1</v>
      </c>
      <c r="Q15" s="113" t="b">
        <v>1</v>
      </c>
      <c r="R15" s="113" t="b">
        <v>1</v>
      </c>
      <c r="S15" s="113" t="b">
        <v>1</v>
      </c>
      <c r="T15" s="113" t="b">
        <v>1</v>
      </c>
      <c r="U15" s="113" t="b">
        <v>1</v>
      </c>
      <c r="V15" s="113" t="b">
        <v>1</v>
      </c>
      <c r="W15" s="113" t="b">
        <v>1</v>
      </c>
      <c r="X15" s="113" t="b">
        <v>1</v>
      </c>
      <c r="Y15" s="113" t="b">
        <v>1</v>
      </c>
      <c r="Z15" s="113" t="b">
        <v>1</v>
      </c>
      <c r="AA15" s="113" t="b">
        <v>1</v>
      </c>
      <c r="AB15" s="113" t="b">
        <v>1</v>
      </c>
      <c r="AC15" s="113" t="b">
        <v>1</v>
      </c>
      <c r="AD15" s="113" t="b">
        <v>1</v>
      </c>
      <c r="AE15" s="113" t="b">
        <v>1</v>
      </c>
      <c r="AF15" s="113" t="b">
        <v>1</v>
      </c>
      <c r="AG15" s="113" t="b">
        <v>1</v>
      </c>
      <c r="AH15" s="113" t="b">
        <v>1</v>
      </c>
      <c r="AI15" s="113" t="b">
        <v>1</v>
      </c>
      <c r="AJ15" s="113" t="b">
        <v>1</v>
      </c>
      <c r="AK15" s="113" t="b">
        <v>1</v>
      </c>
      <c r="AL15" s="113" t="b">
        <v>1</v>
      </c>
      <c r="AM15" s="113" t="b">
        <v>0</v>
      </c>
      <c r="AN15" s="113" t="b">
        <v>0</v>
      </c>
      <c r="AO15" s="113" t="b">
        <v>0</v>
      </c>
      <c r="AP15" s="113" t="b">
        <v>1</v>
      </c>
      <c r="AQ15" s="113" t="b">
        <v>1</v>
      </c>
      <c r="AR15" s="113" t="b">
        <v>1</v>
      </c>
      <c r="AS15" s="113" t="b">
        <v>1</v>
      </c>
      <c r="AT15" s="113" t="b">
        <v>1</v>
      </c>
      <c r="AU15" s="113" t="b">
        <v>1</v>
      </c>
      <c r="AV15" s="113" t="b">
        <v>1</v>
      </c>
      <c r="AW15" s="113" t="b">
        <v>1</v>
      </c>
      <c r="AX15" s="113" t="b">
        <v>1</v>
      </c>
      <c r="AY15" s="113" t="b">
        <v>1</v>
      </c>
      <c r="AZ15" s="113" t="b">
        <v>1</v>
      </c>
      <c r="BA15" s="113" t="b">
        <v>1</v>
      </c>
      <c r="BB15" s="113" t="b">
        <v>1</v>
      </c>
      <c r="BC15" s="113" t="b">
        <v>1</v>
      </c>
      <c r="BD15" s="113" t="b">
        <v>1</v>
      </c>
      <c r="BE15" s="113" t="b">
        <v>1</v>
      </c>
      <c r="BF15" s="113" t="b">
        <v>1</v>
      </c>
      <c r="BG15" s="113" t="b">
        <v>1</v>
      </c>
      <c r="BH15" s="113" t="b">
        <v>0</v>
      </c>
      <c r="BI15" s="113" t="b">
        <v>1</v>
      </c>
      <c r="BJ15" s="113" t="b">
        <v>1</v>
      </c>
      <c r="BK15" s="113" t="b">
        <v>1</v>
      </c>
      <c r="BL15" s="113" t="b">
        <v>0</v>
      </c>
      <c r="BM15" s="113" t="b">
        <v>1</v>
      </c>
      <c r="BN15" s="113" t="b">
        <v>0</v>
      </c>
      <c r="BO15" s="113" t="b">
        <v>1</v>
      </c>
      <c r="BP15" s="113" t="b">
        <v>1</v>
      </c>
      <c r="BQ15" s="113" t="b">
        <v>1</v>
      </c>
      <c r="BR15" s="113" t="b">
        <v>1</v>
      </c>
      <c r="BS15" s="113" t="b">
        <v>1</v>
      </c>
      <c r="BT15" s="113" t="b">
        <v>1</v>
      </c>
      <c r="BU15" s="113" t="b">
        <v>1</v>
      </c>
      <c r="BV15" s="113" t="b">
        <v>1</v>
      </c>
      <c r="BW15" s="113" t="b">
        <v>1</v>
      </c>
      <c r="BX15" s="113" t="b">
        <v>1</v>
      </c>
      <c r="BY15" s="113" t="b">
        <v>1</v>
      </c>
      <c r="BZ15" s="113" t="b">
        <v>1</v>
      </c>
      <c r="CA15" s="113" t="b">
        <v>1</v>
      </c>
      <c r="CB15" s="113" t="b">
        <v>1</v>
      </c>
      <c r="CC15" s="113" t="b">
        <v>0</v>
      </c>
      <c r="CD15" s="113" t="b">
        <v>0</v>
      </c>
      <c r="CE15" s="113" t="b">
        <v>1</v>
      </c>
      <c r="CF15" s="113" t="b">
        <v>1</v>
      </c>
      <c r="CG15" s="113" t="b">
        <v>0</v>
      </c>
      <c r="CH15" s="113" t="b">
        <v>1</v>
      </c>
      <c r="CI15" s="113" t="b">
        <v>1</v>
      </c>
      <c r="CJ15" s="113" t="b">
        <v>1</v>
      </c>
      <c r="CK15" s="113" t="b">
        <v>1</v>
      </c>
      <c r="CL15" s="113" t="b">
        <v>1</v>
      </c>
      <c r="CM15" s="113" t="b">
        <v>1</v>
      </c>
      <c r="CN15" s="113" t="b">
        <v>1</v>
      </c>
    </row>
    <row r="16">
      <c r="A16" s="113" t="s">
        <v>997</v>
      </c>
      <c r="B16" s="113">
        <v>9.69152342E9</v>
      </c>
      <c r="C16" s="120" t="s">
        <v>998</v>
      </c>
      <c r="D16" s="113" t="s">
        <v>22</v>
      </c>
      <c r="F16" s="113" t="b">
        <v>0</v>
      </c>
      <c r="G16" s="113" t="b">
        <v>0</v>
      </c>
      <c r="H16" s="113" t="b">
        <v>0</v>
      </c>
      <c r="I16" s="113" t="b">
        <v>0</v>
      </c>
      <c r="J16" s="113" t="b">
        <v>0</v>
      </c>
      <c r="K16" s="113" t="b">
        <v>0</v>
      </c>
      <c r="L16" s="113" t="b">
        <v>0</v>
      </c>
      <c r="M16" s="113" t="b">
        <v>0</v>
      </c>
      <c r="N16" s="113" t="b">
        <v>0</v>
      </c>
      <c r="O16" s="113" t="b">
        <v>0</v>
      </c>
      <c r="P16" s="113" t="b">
        <v>0</v>
      </c>
      <c r="Q16" s="113" t="b">
        <v>0</v>
      </c>
      <c r="R16" s="113" t="b">
        <v>0</v>
      </c>
      <c r="S16" s="113" t="b">
        <v>0</v>
      </c>
      <c r="T16" s="113" t="b">
        <v>0</v>
      </c>
      <c r="U16" s="113" t="b">
        <v>0</v>
      </c>
      <c r="V16" s="113" t="b">
        <v>0</v>
      </c>
      <c r="W16" s="113" t="b">
        <v>0</v>
      </c>
      <c r="X16" s="113" t="b">
        <v>0</v>
      </c>
      <c r="Y16" s="113" t="b">
        <v>0</v>
      </c>
      <c r="Z16" s="113" t="b">
        <v>0</v>
      </c>
      <c r="AA16" s="113" t="b">
        <v>0</v>
      </c>
      <c r="AB16" s="113" t="b">
        <v>0</v>
      </c>
      <c r="AC16" s="113" t="b">
        <v>0</v>
      </c>
      <c r="AD16" s="113" t="b">
        <v>0</v>
      </c>
      <c r="AE16" s="113" t="b">
        <v>0</v>
      </c>
      <c r="AF16" s="113" t="b">
        <v>0</v>
      </c>
      <c r="AG16" s="113" t="b">
        <v>0</v>
      </c>
      <c r="AH16" s="113" t="b">
        <v>0</v>
      </c>
      <c r="AI16" s="113" t="b">
        <v>0</v>
      </c>
      <c r="AJ16" s="113" t="b">
        <v>0</v>
      </c>
      <c r="AK16" s="113" t="b">
        <v>1</v>
      </c>
      <c r="AL16" s="113" t="b">
        <v>1</v>
      </c>
      <c r="AM16" s="113" t="b">
        <v>0</v>
      </c>
      <c r="AN16" s="113" t="b">
        <v>1</v>
      </c>
      <c r="AO16" s="113" t="b">
        <v>0</v>
      </c>
      <c r="AP16" s="113" t="b">
        <v>1</v>
      </c>
      <c r="AQ16" s="113" t="b">
        <v>1</v>
      </c>
      <c r="AR16" s="113" t="b">
        <v>0</v>
      </c>
      <c r="AS16" s="113" t="b">
        <v>1</v>
      </c>
      <c r="AT16" s="113" t="b">
        <v>1</v>
      </c>
      <c r="AU16" s="113" t="b">
        <v>1</v>
      </c>
      <c r="AV16" s="113" t="b">
        <v>0</v>
      </c>
      <c r="AW16" s="113" t="b">
        <v>0</v>
      </c>
      <c r="AX16" s="113" t="b">
        <v>0</v>
      </c>
      <c r="AY16" s="113" t="b">
        <v>0</v>
      </c>
      <c r="AZ16" s="113" t="b">
        <v>1</v>
      </c>
      <c r="BA16" s="113" t="b">
        <v>1</v>
      </c>
      <c r="BB16" s="113" t="b">
        <v>1</v>
      </c>
      <c r="BC16" s="113" t="b">
        <v>1</v>
      </c>
      <c r="BD16" s="113" t="b">
        <v>1</v>
      </c>
      <c r="BE16" s="113" t="b">
        <v>1</v>
      </c>
      <c r="BF16" s="113" t="b">
        <v>1</v>
      </c>
      <c r="BG16" s="113" t="b">
        <v>1</v>
      </c>
      <c r="BH16" s="113" t="b">
        <v>0</v>
      </c>
      <c r="BI16" s="113" t="b">
        <v>0</v>
      </c>
      <c r="BJ16" s="113" t="b">
        <v>0</v>
      </c>
      <c r="BK16" s="113" t="b">
        <v>0</v>
      </c>
      <c r="BL16" s="113" t="b">
        <v>0</v>
      </c>
      <c r="BM16" s="113" t="b">
        <v>0</v>
      </c>
      <c r="BN16" s="113" t="b">
        <v>0</v>
      </c>
      <c r="BO16" s="113" t="b">
        <v>0</v>
      </c>
      <c r="BP16" s="113" t="b">
        <v>1</v>
      </c>
      <c r="BQ16" s="113" t="b">
        <v>1</v>
      </c>
      <c r="BR16" s="113" t="b">
        <v>0</v>
      </c>
      <c r="BS16" s="113" t="b">
        <v>0</v>
      </c>
      <c r="BT16" s="113" t="b">
        <v>0</v>
      </c>
      <c r="BU16" s="113" t="b">
        <v>0</v>
      </c>
      <c r="BV16" s="113" t="b">
        <v>0</v>
      </c>
      <c r="BW16" s="113" t="b">
        <v>0</v>
      </c>
      <c r="BX16" s="113" t="b">
        <v>0</v>
      </c>
      <c r="BY16" s="113" t="b">
        <v>1</v>
      </c>
      <c r="BZ16" s="113" t="b">
        <v>0</v>
      </c>
      <c r="CA16" s="113" t="b">
        <v>0</v>
      </c>
      <c r="CB16" s="113" t="b">
        <v>1</v>
      </c>
      <c r="CC16" s="113" t="b">
        <v>1</v>
      </c>
      <c r="CD16" s="113" t="b">
        <v>1</v>
      </c>
      <c r="CE16" s="113" t="b">
        <v>1</v>
      </c>
      <c r="CF16" s="113" t="b">
        <v>1</v>
      </c>
      <c r="CG16" s="113" t="b">
        <v>0</v>
      </c>
      <c r="CH16" s="113" t="b">
        <v>0</v>
      </c>
      <c r="CI16" s="113" t="b">
        <v>1</v>
      </c>
      <c r="CJ16" s="113" t="b">
        <v>0</v>
      </c>
      <c r="CK16" s="113" t="b">
        <v>0</v>
      </c>
      <c r="CL16" s="113" t="b">
        <v>1</v>
      </c>
      <c r="CM16" s="113" t="b">
        <v>0</v>
      </c>
      <c r="CN16" s="113" t="b">
        <v>1</v>
      </c>
    </row>
    <row r="17">
      <c r="A17" s="121" t="s">
        <v>999</v>
      </c>
      <c r="B17" s="121">
        <v>6.261000435E9</v>
      </c>
      <c r="C17" s="121" t="s">
        <v>1000</v>
      </c>
      <c r="D17" s="121" t="s">
        <v>22</v>
      </c>
      <c r="E17" s="112"/>
      <c r="F17" s="121" t="b">
        <v>1</v>
      </c>
      <c r="G17" s="121" t="b">
        <v>1</v>
      </c>
      <c r="H17" s="121" t="b">
        <v>1</v>
      </c>
      <c r="I17" s="121" t="b">
        <v>1</v>
      </c>
      <c r="J17" s="121" t="b">
        <v>1</v>
      </c>
      <c r="K17" s="121" t="b">
        <v>1</v>
      </c>
      <c r="L17" s="121" t="b">
        <v>1</v>
      </c>
      <c r="M17" s="121" t="b">
        <v>1</v>
      </c>
      <c r="N17" s="121" t="b">
        <v>1</v>
      </c>
      <c r="O17" s="121" t="b">
        <v>1</v>
      </c>
      <c r="P17" s="121" t="b">
        <v>1</v>
      </c>
      <c r="Q17" s="121" t="b">
        <v>1</v>
      </c>
      <c r="R17" s="121" t="b">
        <v>1</v>
      </c>
      <c r="S17" s="121" t="b">
        <v>1</v>
      </c>
      <c r="T17" s="121" t="b">
        <v>1</v>
      </c>
      <c r="U17" s="121" t="b">
        <v>1</v>
      </c>
      <c r="V17" s="121" t="b">
        <v>1</v>
      </c>
      <c r="W17" s="121" t="b">
        <v>1</v>
      </c>
      <c r="X17" s="121" t="b">
        <v>1</v>
      </c>
      <c r="Y17" s="121" t="b">
        <v>1</v>
      </c>
      <c r="Z17" s="121" t="b">
        <v>1</v>
      </c>
      <c r="AA17" s="121" t="b">
        <v>1</v>
      </c>
      <c r="AB17" s="121" t="b">
        <v>1</v>
      </c>
      <c r="AC17" s="121" t="b">
        <v>1</v>
      </c>
      <c r="AD17" s="121" t="b">
        <v>1</v>
      </c>
      <c r="AE17" s="121" t="b">
        <v>1</v>
      </c>
      <c r="AF17" s="121" t="b">
        <v>1</v>
      </c>
      <c r="AG17" s="121" t="b">
        <v>1</v>
      </c>
      <c r="AH17" s="121" t="b">
        <v>1</v>
      </c>
      <c r="AI17" s="121" t="b">
        <v>1</v>
      </c>
      <c r="AJ17" s="121" t="b">
        <v>1</v>
      </c>
      <c r="AK17" s="121" t="b">
        <v>1</v>
      </c>
      <c r="AL17" s="121" t="b">
        <v>1</v>
      </c>
      <c r="AM17" s="121" t="b">
        <v>1</v>
      </c>
      <c r="AN17" s="121" t="b">
        <v>1</v>
      </c>
      <c r="AO17" s="121" t="b">
        <v>1</v>
      </c>
      <c r="AP17" s="121" t="b">
        <v>1</v>
      </c>
      <c r="AQ17" s="121" t="b">
        <v>1</v>
      </c>
      <c r="AR17" s="121" t="b">
        <v>1</v>
      </c>
      <c r="AS17" s="121" t="b">
        <v>1</v>
      </c>
      <c r="AT17" s="121" t="b">
        <v>1</v>
      </c>
      <c r="AU17" s="121" t="b">
        <v>1</v>
      </c>
      <c r="AV17" s="121" t="b">
        <v>1</v>
      </c>
      <c r="AW17" s="121" t="b">
        <v>1</v>
      </c>
      <c r="AX17" s="121" t="b">
        <v>1</v>
      </c>
      <c r="AY17" s="121" t="b">
        <v>1</v>
      </c>
      <c r="AZ17" s="121" t="b">
        <v>0</v>
      </c>
      <c r="BA17" s="121" t="b">
        <v>1</v>
      </c>
      <c r="BB17" s="121" t="b">
        <v>1</v>
      </c>
      <c r="BC17" s="121" t="b">
        <v>1</v>
      </c>
      <c r="BD17" s="121" t="b">
        <v>1</v>
      </c>
      <c r="BE17" s="121" t="b">
        <v>1</v>
      </c>
      <c r="BF17" s="121" t="b">
        <v>1</v>
      </c>
      <c r="BG17" s="121" t="b">
        <v>1</v>
      </c>
      <c r="BH17" s="121" t="b">
        <v>1</v>
      </c>
      <c r="BI17" s="121" t="b">
        <v>0</v>
      </c>
      <c r="BJ17" s="121" t="b">
        <v>1</v>
      </c>
      <c r="BK17" s="121" t="b">
        <v>1</v>
      </c>
      <c r="BL17" s="121" t="b">
        <v>1</v>
      </c>
      <c r="BM17" s="121" t="b">
        <v>1</v>
      </c>
      <c r="BN17" s="121" t="b">
        <v>1</v>
      </c>
      <c r="BO17" s="121" t="b">
        <v>1</v>
      </c>
      <c r="BP17" s="121" t="b">
        <v>1</v>
      </c>
      <c r="BQ17" s="121" t="b">
        <v>1</v>
      </c>
      <c r="BR17" s="121" t="b">
        <v>1</v>
      </c>
      <c r="BS17" s="121" t="b">
        <v>1</v>
      </c>
      <c r="BT17" s="121" t="b">
        <v>1</v>
      </c>
      <c r="BU17" s="121" t="b">
        <v>1</v>
      </c>
      <c r="BV17" s="121" t="b">
        <v>1</v>
      </c>
      <c r="BW17" s="121" t="b">
        <v>1</v>
      </c>
      <c r="BX17" s="121" t="b">
        <v>1</v>
      </c>
      <c r="BY17" s="121" t="b">
        <v>1</v>
      </c>
      <c r="BZ17" s="121" t="b">
        <v>1</v>
      </c>
      <c r="CA17" s="121" t="b">
        <v>0</v>
      </c>
      <c r="CB17" s="121" t="b">
        <v>0</v>
      </c>
      <c r="CC17" s="121" t="b">
        <v>0</v>
      </c>
      <c r="CD17" s="121" t="b">
        <v>0</v>
      </c>
      <c r="CE17" s="121" t="b">
        <v>0</v>
      </c>
      <c r="CF17" s="121" t="b">
        <v>0</v>
      </c>
      <c r="CG17" s="121" t="b">
        <v>0</v>
      </c>
      <c r="CH17" s="121" t="b">
        <v>0</v>
      </c>
      <c r="CI17" s="121" t="b">
        <v>0</v>
      </c>
      <c r="CJ17" s="121" t="b">
        <v>0</v>
      </c>
      <c r="CK17" s="121" t="b">
        <v>0</v>
      </c>
      <c r="CL17" s="121" t="b">
        <v>0</v>
      </c>
      <c r="CM17" s="121" t="b">
        <v>0</v>
      </c>
      <c r="CN17" s="121" t="b">
        <v>0</v>
      </c>
    </row>
    <row r="18">
      <c r="A18" s="109" t="s">
        <v>1001</v>
      </c>
      <c r="B18" s="109">
        <v>9.648035947E9</v>
      </c>
      <c r="C18" s="109" t="s">
        <v>1002</v>
      </c>
      <c r="D18" s="109" t="s">
        <v>83</v>
      </c>
      <c r="E18" s="110" t="s">
        <v>1003</v>
      </c>
      <c r="F18" s="109" t="b">
        <v>0</v>
      </c>
      <c r="G18" s="109" t="b">
        <v>0</v>
      </c>
      <c r="H18" s="109" t="b">
        <v>0</v>
      </c>
      <c r="I18" s="109" t="b">
        <v>0</v>
      </c>
      <c r="J18" s="109" t="b">
        <v>0</v>
      </c>
      <c r="K18" s="109" t="b">
        <v>0</v>
      </c>
      <c r="L18" s="109" t="b">
        <v>0</v>
      </c>
      <c r="M18" s="109" t="b">
        <v>0</v>
      </c>
      <c r="N18" s="109" t="b">
        <v>0</v>
      </c>
      <c r="O18" s="109" t="b">
        <v>0</v>
      </c>
      <c r="P18" s="109" t="b">
        <v>0</v>
      </c>
      <c r="Q18" s="109" t="b">
        <v>0</v>
      </c>
      <c r="R18" s="109" t="b">
        <v>0</v>
      </c>
      <c r="S18" s="109" t="b">
        <v>0</v>
      </c>
      <c r="T18" s="109" t="b">
        <v>0</v>
      </c>
      <c r="U18" s="109" t="b">
        <v>0</v>
      </c>
      <c r="V18" s="109" t="b">
        <v>0</v>
      </c>
      <c r="W18" s="109" t="b">
        <v>0</v>
      </c>
      <c r="X18" s="109" t="b">
        <v>0</v>
      </c>
      <c r="Y18" s="109" t="b">
        <v>0</v>
      </c>
      <c r="Z18" s="109" t="b">
        <v>0</v>
      </c>
      <c r="AA18" s="109" t="b">
        <v>0</v>
      </c>
      <c r="AB18" s="109" t="b">
        <v>0</v>
      </c>
      <c r="AC18" s="109" t="b">
        <v>0</v>
      </c>
      <c r="AD18" s="109" t="b">
        <v>0</v>
      </c>
      <c r="AE18" s="109" t="b">
        <v>0</v>
      </c>
      <c r="AF18" s="109" t="b">
        <v>0</v>
      </c>
      <c r="AG18" s="109" t="b">
        <v>0</v>
      </c>
      <c r="AH18" s="109" t="b">
        <v>1</v>
      </c>
      <c r="AI18" s="109" t="b">
        <v>1</v>
      </c>
      <c r="AJ18" s="109" t="b">
        <v>1</v>
      </c>
      <c r="AK18" s="109" t="b">
        <v>1</v>
      </c>
      <c r="AL18" s="109" t="b">
        <v>1</v>
      </c>
      <c r="AM18" s="109" t="b">
        <v>0</v>
      </c>
      <c r="AN18" s="109" t="b">
        <v>0</v>
      </c>
      <c r="AO18" s="109" t="b">
        <v>0</v>
      </c>
      <c r="AP18" s="109" t="b">
        <v>1</v>
      </c>
      <c r="AQ18" s="109" t="b">
        <v>1</v>
      </c>
      <c r="AR18" s="109" t="b">
        <v>1</v>
      </c>
      <c r="AS18" s="109" t="b">
        <v>1</v>
      </c>
      <c r="AT18" s="109" t="b">
        <v>1</v>
      </c>
      <c r="AU18" s="109" t="b">
        <v>1</v>
      </c>
      <c r="AV18" s="109" t="b">
        <v>1</v>
      </c>
      <c r="AW18" s="109" t="b">
        <v>1</v>
      </c>
      <c r="AX18" s="109" t="b">
        <v>1</v>
      </c>
      <c r="AY18" s="109" t="b">
        <v>0</v>
      </c>
      <c r="AZ18" s="109" t="b">
        <v>1</v>
      </c>
      <c r="BA18" s="109" t="b">
        <v>1</v>
      </c>
      <c r="BB18" s="109" t="b">
        <v>1</v>
      </c>
      <c r="BC18" s="109" t="b">
        <v>1</v>
      </c>
      <c r="BD18" s="109" t="b">
        <v>1</v>
      </c>
      <c r="BE18" s="109" t="b">
        <v>1</v>
      </c>
      <c r="BF18" s="109" t="b">
        <v>1</v>
      </c>
      <c r="BG18" s="109" t="b">
        <v>1</v>
      </c>
      <c r="BH18" s="109" t="b">
        <v>1</v>
      </c>
      <c r="BI18" s="109" t="b">
        <v>1</v>
      </c>
      <c r="BJ18" s="109" t="b">
        <v>1</v>
      </c>
      <c r="BK18" s="109" t="b">
        <v>1</v>
      </c>
      <c r="BL18" s="109" t="b">
        <v>1</v>
      </c>
      <c r="BM18" s="109" t="b">
        <v>1</v>
      </c>
      <c r="BN18" s="109" t="b">
        <v>1</v>
      </c>
      <c r="BO18" s="109" t="b">
        <v>1</v>
      </c>
      <c r="BP18" s="109" t="b">
        <v>1</v>
      </c>
      <c r="BQ18" s="109" t="b">
        <v>1</v>
      </c>
      <c r="BR18" s="109" t="b">
        <v>1</v>
      </c>
      <c r="BS18" s="109" t="b">
        <v>1</v>
      </c>
      <c r="BT18" s="109" t="b">
        <v>1</v>
      </c>
      <c r="BU18" s="109" t="b">
        <v>1</v>
      </c>
      <c r="BV18" s="109" t="b">
        <v>1</v>
      </c>
      <c r="BW18" s="109" t="b">
        <v>1</v>
      </c>
      <c r="BX18" s="109" t="b">
        <v>1</v>
      </c>
      <c r="BY18" s="109" t="b">
        <v>1</v>
      </c>
      <c r="BZ18" s="109" t="b">
        <v>1</v>
      </c>
      <c r="CA18" s="109" t="b">
        <v>1</v>
      </c>
      <c r="CB18" s="109" t="b">
        <v>1</v>
      </c>
      <c r="CC18" s="109" t="b">
        <v>1</v>
      </c>
      <c r="CD18" s="109" t="b">
        <v>1</v>
      </c>
      <c r="CE18" s="109" t="b">
        <v>1</v>
      </c>
      <c r="CF18" s="109" t="b">
        <v>1</v>
      </c>
      <c r="CG18" s="109" t="b">
        <v>1</v>
      </c>
      <c r="CH18" s="109" t="b">
        <v>1</v>
      </c>
      <c r="CI18" s="109" t="b">
        <v>0</v>
      </c>
      <c r="CJ18" s="109" t="b">
        <v>0</v>
      </c>
      <c r="CK18" s="109" t="b">
        <v>0</v>
      </c>
      <c r="CL18" s="109" t="b">
        <v>0</v>
      </c>
      <c r="CM18" s="109" t="b">
        <v>0</v>
      </c>
      <c r="CN18" s="109" t="b">
        <v>0</v>
      </c>
    </row>
    <row r="19">
      <c r="A19" s="109" t="s">
        <v>1004</v>
      </c>
      <c r="B19" s="109">
        <v>7.607448167E9</v>
      </c>
      <c r="C19" s="109" t="s">
        <v>1005</v>
      </c>
      <c r="D19" s="109" t="s">
        <v>83</v>
      </c>
      <c r="F19" s="109" t="b">
        <v>0</v>
      </c>
      <c r="G19" s="109" t="b">
        <v>0</v>
      </c>
      <c r="H19" s="109" t="b">
        <v>0</v>
      </c>
      <c r="I19" s="109" t="b">
        <v>1</v>
      </c>
      <c r="J19" s="109" t="b">
        <v>1</v>
      </c>
      <c r="K19" s="109" t="b">
        <v>1</v>
      </c>
      <c r="L19" s="109" t="b">
        <v>0</v>
      </c>
      <c r="M19" s="109" t="b">
        <v>1</v>
      </c>
      <c r="N19" s="109" t="b">
        <v>0</v>
      </c>
      <c r="O19" s="109" t="b">
        <v>0</v>
      </c>
      <c r="P19" s="109" t="b">
        <v>0</v>
      </c>
      <c r="Q19" s="109" t="b">
        <v>1</v>
      </c>
      <c r="R19" s="109" t="b">
        <v>1</v>
      </c>
      <c r="S19" s="109" t="b">
        <v>1</v>
      </c>
      <c r="T19" s="109" t="b">
        <v>1</v>
      </c>
      <c r="U19" s="109" t="b">
        <v>1</v>
      </c>
      <c r="V19" s="109" t="b">
        <v>0</v>
      </c>
      <c r="W19" s="109" t="b">
        <v>0</v>
      </c>
      <c r="X19" s="109" t="b">
        <v>0</v>
      </c>
      <c r="Y19" s="109" t="b">
        <v>1</v>
      </c>
      <c r="Z19" s="109" t="b">
        <v>1</v>
      </c>
      <c r="AA19" s="109" t="b">
        <v>0</v>
      </c>
      <c r="AB19" s="109" t="b">
        <v>0</v>
      </c>
      <c r="AC19" s="109" t="b">
        <v>0</v>
      </c>
      <c r="AD19" s="109" t="b">
        <v>0</v>
      </c>
      <c r="AE19" s="109" t="b">
        <v>0</v>
      </c>
      <c r="AF19" s="109" t="b">
        <v>0</v>
      </c>
      <c r="AG19" s="109" t="b">
        <v>1</v>
      </c>
      <c r="AH19" s="109" t="b">
        <v>1</v>
      </c>
      <c r="AI19" s="109" t="b">
        <v>0</v>
      </c>
      <c r="AJ19" s="109" t="b">
        <v>0</v>
      </c>
      <c r="AK19" s="109" t="b">
        <v>1</v>
      </c>
      <c r="AL19" s="109" t="b">
        <v>1</v>
      </c>
      <c r="AM19" s="109" t="b">
        <v>0</v>
      </c>
      <c r="AN19" s="109" t="b">
        <v>0</v>
      </c>
      <c r="AO19" s="109" t="b">
        <v>1</v>
      </c>
      <c r="AP19" s="109" t="b">
        <v>1</v>
      </c>
      <c r="AQ19" s="109" t="b">
        <v>1</v>
      </c>
      <c r="AR19" s="109" t="b">
        <v>1</v>
      </c>
      <c r="AS19" s="109" t="b">
        <v>0</v>
      </c>
      <c r="AT19" s="109" t="b">
        <v>0</v>
      </c>
      <c r="AU19" s="109" t="b">
        <v>1</v>
      </c>
      <c r="AV19" s="109" t="b">
        <v>1</v>
      </c>
      <c r="AW19" s="109" t="b">
        <v>1</v>
      </c>
      <c r="AX19" s="109" t="b">
        <v>1</v>
      </c>
      <c r="AY19" s="109" t="b">
        <v>1</v>
      </c>
      <c r="AZ19" s="109" t="b">
        <v>1</v>
      </c>
      <c r="BA19" s="109" t="b">
        <v>1</v>
      </c>
      <c r="BB19" s="109" t="b">
        <v>1</v>
      </c>
      <c r="BC19" s="109" t="b">
        <v>1</v>
      </c>
      <c r="BD19" s="109" t="b">
        <v>1</v>
      </c>
      <c r="BE19" s="109" t="b">
        <v>1</v>
      </c>
      <c r="BF19" s="109" t="b">
        <v>1</v>
      </c>
      <c r="BG19" s="109" t="b">
        <v>1</v>
      </c>
      <c r="BH19" s="109" t="b">
        <v>1</v>
      </c>
      <c r="BI19" s="109" t="b">
        <v>1</v>
      </c>
      <c r="BJ19" s="109" t="b">
        <v>1</v>
      </c>
      <c r="BK19" s="109" t="b">
        <v>1</v>
      </c>
      <c r="BL19" s="109" t="b">
        <v>1</v>
      </c>
      <c r="BM19" s="109" t="b">
        <v>1</v>
      </c>
      <c r="BN19" s="109" t="b">
        <v>1</v>
      </c>
      <c r="BO19" s="109" t="b">
        <v>1</v>
      </c>
      <c r="BP19" s="109" t="b">
        <v>1</v>
      </c>
      <c r="BQ19" s="109" t="b">
        <v>1</v>
      </c>
      <c r="BR19" s="109" t="b">
        <v>1</v>
      </c>
      <c r="BS19" s="109" t="b">
        <v>1</v>
      </c>
      <c r="BT19" s="109" t="b">
        <v>1</v>
      </c>
      <c r="BU19" s="109" t="b">
        <v>1</v>
      </c>
      <c r="BV19" s="109" t="b">
        <v>0</v>
      </c>
      <c r="BW19" s="109" t="b">
        <v>1</v>
      </c>
      <c r="BX19" s="109" t="b">
        <v>1</v>
      </c>
      <c r="BY19" s="109" t="b">
        <v>1</v>
      </c>
      <c r="BZ19" s="109" t="b">
        <v>1</v>
      </c>
      <c r="CA19" s="109" t="b">
        <v>1</v>
      </c>
      <c r="CB19" s="109" t="b">
        <v>1</v>
      </c>
      <c r="CC19" s="109" t="b">
        <v>1</v>
      </c>
      <c r="CD19" s="109" t="b">
        <v>1</v>
      </c>
      <c r="CE19" s="109" t="b">
        <v>0</v>
      </c>
      <c r="CF19" s="109" t="b">
        <v>0</v>
      </c>
      <c r="CG19" s="109" t="b">
        <v>0</v>
      </c>
      <c r="CH19" s="109" t="b">
        <v>1</v>
      </c>
      <c r="CI19" s="109" t="b">
        <v>0</v>
      </c>
      <c r="CJ19" s="109" t="b">
        <v>1</v>
      </c>
      <c r="CK19" s="109" t="b">
        <v>1</v>
      </c>
      <c r="CL19" s="109" t="b">
        <v>1</v>
      </c>
      <c r="CM19" s="109" t="b">
        <v>1</v>
      </c>
      <c r="CN19" s="109" t="b">
        <v>1</v>
      </c>
    </row>
    <row r="20">
      <c r="A20" s="109" t="s">
        <v>1006</v>
      </c>
      <c r="B20" s="109">
        <v>9.369452523E9</v>
      </c>
      <c r="C20" s="109" t="s">
        <v>1007</v>
      </c>
      <c r="D20" s="109" t="s">
        <v>83</v>
      </c>
      <c r="F20" s="109" t="b">
        <v>0</v>
      </c>
      <c r="G20" s="109" t="b">
        <v>0</v>
      </c>
      <c r="H20" s="109" t="b">
        <v>0</v>
      </c>
      <c r="I20" s="109" t="b">
        <v>0</v>
      </c>
      <c r="J20" s="109" t="b">
        <v>1</v>
      </c>
      <c r="K20" s="109" t="b">
        <v>0</v>
      </c>
      <c r="L20" s="109" t="b">
        <v>0</v>
      </c>
      <c r="M20" s="109" t="b">
        <v>1</v>
      </c>
      <c r="N20" s="109" t="b">
        <v>0</v>
      </c>
      <c r="O20" s="109" t="b">
        <v>0</v>
      </c>
      <c r="P20" s="109" t="b">
        <v>0</v>
      </c>
      <c r="Q20" s="109" t="b">
        <v>1</v>
      </c>
      <c r="R20" s="109" t="b">
        <v>1</v>
      </c>
      <c r="S20" s="109" t="b">
        <v>1</v>
      </c>
      <c r="T20" s="109" t="b">
        <v>1</v>
      </c>
      <c r="U20" s="109" t="b">
        <v>1</v>
      </c>
      <c r="V20" s="109" t="b">
        <v>0</v>
      </c>
      <c r="W20" s="109" t="b">
        <v>1</v>
      </c>
      <c r="X20" s="109" t="b">
        <v>1</v>
      </c>
      <c r="Y20" s="109" t="b">
        <v>0</v>
      </c>
      <c r="Z20" s="109" t="b">
        <v>1</v>
      </c>
      <c r="AA20" s="109" t="b">
        <v>0</v>
      </c>
      <c r="AB20" s="109" t="b">
        <v>0</v>
      </c>
      <c r="AC20" s="109" t="b">
        <v>0</v>
      </c>
      <c r="AD20" s="109" t="b">
        <v>0</v>
      </c>
      <c r="AE20" s="109" t="b">
        <v>0</v>
      </c>
      <c r="AF20" s="109" t="b">
        <v>0</v>
      </c>
      <c r="AG20" s="109" t="b">
        <v>1</v>
      </c>
      <c r="AH20" s="109" t="b">
        <v>1</v>
      </c>
      <c r="AI20" s="109" t="b">
        <v>0</v>
      </c>
      <c r="AJ20" s="109" t="b">
        <v>0</v>
      </c>
      <c r="AK20" s="109" t="b">
        <v>1</v>
      </c>
      <c r="AL20" s="109" t="b">
        <v>1</v>
      </c>
      <c r="AM20" s="109" t="b">
        <v>0</v>
      </c>
      <c r="AN20" s="109" t="b">
        <v>0</v>
      </c>
      <c r="AO20" s="109" t="b">
        <v>1</v>
      </c>
      <c r="AP20" s="109" t="b">
        <v>1</v>
      </c>
      <c r="AQ20" s="109" t="b">
        <v>1</v>
      </c>
      <c r="AR20" s="109" t="b">
        <v>1</v>
      </c>
      <c r="AS20" s="109" t="b">
        <v>0</v>
      </c>
      <c r="AT20" s="109" t="b">
        <v>0</v>
      </c>
      <c r="AU20" s="109" t="b">
        <v>1</v>
      </c>
      <c r="AV20" s="109" t="b">
        <v>1</v>
      </c>
      <c r="AW20" s="109" t="b">
        <v>1</v>
      </c>
      <c r="AX20" s="109" t="b">
        <v>1</v>
      </c>
      <c r="AY20" s="109" t="b">
        <v>1</v>
      </c>
      <c r="AZ20" s="109" t="b">
        <v>1</v>
      </c>
      <c r="BA20" s="109" t="b">
        <v>1</v>
      </c>
      <c r="BB20" s="109" t="b">
        <v>1</v>
      </c>
      <c r="BC20" s="109" t="b">
        <v>1</v>
      </c>
      <c r="BD20" s="109" t="b">
        <v>1</v>
      </c>
      <c r="BE20" s="109" t="b">
        <v>1</v>
      </c>
      <c r="BF20" s="109" t="b">
        <v>1</v>
      </c>
      <c r="BG20" s="109" t="b">
        <v>1</v>
      </c>
      <c r="BH20" s="109" t="b">
        <v>1</v>
      </c>
      <c r="BI20" s="109" t="b">
        <v>1</v>
      </c>
      <c r="BJ20" s="109" t="b">
        <v>1</v>
      </c>
      <c r="BK20" s="109" t="b">
        <v>1</v>
      </c>
      <c r="BL20" s="109" t="b">
        <v>1</v>
      </c>
      <c r="BM20" s="109" t="b">
        <v>1</v>
      </c>
      <c r="BN20" s="109" t="b">
        <v>1</v>
      </c>
      <c r="BO20" s="109" t="b">
        <v>1</v>
      </c>
      <c r="BP20" s="109" t="b">
        <v>1</v>
      </c>
      <c r="BQ20" s="109" t="b">
        <v>1</v>
      </c>
      <c r="BR20" s="109" t="b">
        <v>0</v>
      </c>
      <c r="BS20" s="109" t="b">
        <v>1</v>
      </c>
      <c r="BT20" s="109" t="b">
        <v>0</v>
      </c>
      <c r="BU20" s="109" t="b">
        <v>1</v>
      </c>
      <c r="BV20" s="109" t="b">
        <v>0</v>
      </c>
      <c r="BW20" s="109" t="b">
        <v>1</v>
      </c>
      <c r="BX20" s="109" t="b">
        <v>1</v>
      </c>
      <c r="BY20" s="109" t="b">
        <v>0</v>
      </c>
      <c r="BZ20" s="109" t="b">
        <v>0</v>
      </c>
      <c r="CA20" s="109" t="b">
        <v>0</v>
      </c>
      <c r="CB20" s="109" t="b">
        <v>1</v>
      </c>
      <c r="CC20" s="109" t="b">
        <v>1</v>
      </c>
      <c r="CD20" s="109" t="b">
        <v>1</v>
      </c>
      <c r="CE20" s="109" t="b">
        <v>0</v>
      </c>
      <c r="CF20" s="109" t="b">
        <v>0</v>
      </c>
      <c r="CG20" s="109" t="b">
        <v>0</v>
      </c>
      <c r="CH20" s="109" t="b">
        <v>1</v>
      </c>
      <c r="CI20" s="109" t="b">
        <v>0</v>
      </c>
      <c r="CJ20" s="109" t="b">
        <v>1</v>
      </c>
      <c r="CK20" s="109" t="b">
        <v>1</v>
      </c>
      <c r="CL20" s="109" t="b">
        <v>1</v>
      </c>
      <c r="CM20" s="109" t="b">
        <v>1</v>
      </c>
      <c r="CN20" s="109" t="b">
        <v>1</v>
      </c>
    </row>
    <row r="21">
      <c r="A21" s="109" t="s">
        <v>1008</v>
      </c>
      <c r="B21" s="109">
        <v>8.418989905E9</v>
      </c>
      <c r="C21" s="109" t="s">
        <v>1009</v>
      </c>
      <c r="D21" s="109" t="s">
        <v>83</v>
      </c>
      <c r="F21" s="109" t="b">
        <v>0</v>
      </c>
      <c r="G21" s="109" t="b">
        <v>0</v>
      </c>
      <c r="H21" s="109" t="b">
        <v>1</v>
      </c>
      <c r="I21" s="109" t="b">
        <v>1</v>
      </c>
      <c r="J21" s="109" t="b">
        <v>1</v>
      </c>
      <c r="K21" s="109" t="b">
        <v>0</v>
      </c>
      <c r="L21" s="109" t="b">
        <v>1</v>
      </c>
      <c r="M21" s="109" t="b">
        <v>1</v>
      </c>
      <c r="N21" s="109" t="b">
        <v>1</v>
      </c>
      <c r="O21" s="109" t="b">
        <v>1</v>
      </c>
      <c r="P21" s="109" t="b">
        <v>1</v>
      </c>
      <c r="Q21" s="109" t="b">
        <v>1</v>
      </c>
      <c r="R21" s="109" t="b">
        <v>1</v>
      </c>
      <c r="S21" s="109" t="b">
        <v>1</v>
      </c>
      <c r="T21" s="109" t="b">
        <v>1</v>
      </c>
      <c r="U21" s="109" t="b">
        <v>1</v>
      </c>
      <c r="V21" s="109" t="b">
        <v>0</v>
      </c>
      <c r="W21" s="109" t="b">
        <v>1</v>
      </c>
      <c r="X21" s="109" t="b">
        <v>1</v>
      </c>
      <c r="Y21" s="109" t="b">
        <v>0</v>
      </c>
      <c r="Z21" s="109" t="b">
        <v>1</v>
      </c>
      <c r="AA21" s="109" t="b">
        <v>1</v>
      </c>
      <c r="AB21" s="109" t="b">
        <v>1</v>
      </c>
      <c r="AC21" s="109" t="b">
        <v>1</v>
      </c>
      <c r="AD21" s="109" t="b">
        <v>1</v>
      </c>
      <c r="AE21" s="109" t="b">
        <v>1</v>
      </c>
      <c r="AF21" s="109" t="b">
        <v>1</v>
      </c>
      <c r="AG21" s="109" t="b">
        <v>1</v>
      </c>
      <c r="AH21" s="109" t="b">
        <v>1</v>
      </c>
      <c r="AI21" s="109" t="b">
        <v>1</v>
      </c>
      <c r="AJ21" s="109" t="b">
        <v>1</v>
      </c>
      <c r="AK21" s="109" t="b">
        <v>1</v>
      </c>
      <c r="AL21" s="109" t="b">
        <v>1</v>
      </c>
      <c r="AM21" s="109" t="b">
        <v>1</v>
      </c>
      <c r="AN21" s="109" t="b">
        <v>0</v>
      </c>
      <c r="AO21" s="109" t="b">
        <v>1</v>
      </c>
      <c r="AP21" s="109" t="b">
        <v>1</v>
      </c>
      <c r="AQ21" s="109" t="b">
        <v>1</v>
      </c>
      <c r="AR21" s="109" t="b">
        <v>1</v>
      </c>
      <c r="AS21" s="109" t="b">
        <v>1</v>
      </c>
      <c r="AT21" s="109" t="b">
        <v>1</v>
      </c>
      <c r="AU21" s="109" t="b">
        <v>1</v>
      </c>
      <c r="AV21" s="109" t="b">
        <v>1</v>
      </c>
      <c r="AW21" s="109" t="b">
        <v>1</v>
      </c>
      <c r="AX21" s="109" t="b">
        <v>1</v>
      </c>
      <c r="AY21" s="109" t="b">
        <v>1</v>
      </c>
      <c r="AZ21" s="109" t="b">
        <v>1</v>
      </c>
      <c r="BA21" s="109" t="b">
        <v>1</v>
      </c>
      <c r="BB21" s="109" t="b">
        <v>1</v>
      </c>
      <c r="BC21" s="109" t="b">
        <v>1</v>
      </c>
      <c r="BD21" s="109" t="b">
        <v>1</v>
      </c>
      <c r="BE21" s="109" t="b">
        <v>1</v>
      </c>
      <c r="BF21" s="109" t="b">
        <v>1</v>
      </c>
      <c r="BG21" s="109" t="b">
        <v>1</v>
      </c>
      <c r="BH21" s="109" t="b">
        <v>1</v>
      </c>
      <c r="BI21" s="109" t="b">
        <v>1</v>
      </c>
      <c r="BJ21" s="109" t="b">
        <v>1</v>
      </c>
      <c r="BK21" s="109" t="b">
        <v>1</v>
      </c>
      <c r="BL21" s="109" t="b">
        <v>1</v>
      </c>
      <c r="BM21" s="109" t="b">
        <v>1</v>
      </c>
      <c r="BN21" s="109" t="b">
        <v>1</v>
      </c>
      <c r="BO21" s="109" t="b">
        <v>1</v>
      </c>
      <c r="BP21" s="109" t="b">
        <v>1</v>
      </c>
      <c r="BQ21" s="109" t="b">
        <v>1</v>
      </c>
      <c r="BR21" s="109" t="b">
        <v>1</v>
      </c>
      <c r="BS21" s="109" t="b">
        <v>1</v>
      </c>
      <c r="BT21" s="109" t="b">
        <v>1</v>
      </c>
      <c r="BU21" s="109" t="b">
        <v>1</v>
      </c>
      <c r="BV21" s="109" t="b">
        <v>1</v>
      </c>
      <c r="BW21" s="109" t="b">
        <v>1</v>
      </c>
      <c r="BX21" s="109" t="b">
        <v>1</v>
      </c>
      <c r="BY21" s="109" t="b">
        <v>1</v>
      </c>
      <c r="BZ21" s="109" t="b">
        <v>0</v>
      </c>
      <c r="CA21" s="109" t="b">
        <v>1</v>
      </c>
      <c r="CB21" s="109" t="b">
        <v>1</v>
      </c>
      <c r="CC21" s="109" t="b">
        <v>1</v>
      </c>
      <c r="CD21" s="109" t="b">
        <v>1</v>
      </c>
      <c r="CE21" s="109" t="b">
        <v>0</v>
      </c>
      <c r="CF21" s="109" t="b">
        <v>1</v>
      </c>
      <c r="CG21" s="109" t="b">
        <v>1</v>
      </c>
      <c r="CH21" s="109" t="b">
        <v>1</v>
      </c>
      <c r="CI21" s="109" t="b">
        <v>1</v>
      </c>
      <c r="CJ21" s="109" t="b">
        <v>1</v>
      </c>
      <c r="CK21" s="109" t="b">
        <v>1</v>
      </c>
      <c r="CL21" s="109" t="b">
        <v>1</v>
      </c>
      <c r="CM21" s="109" t="b">
        <v>1</v>
      </c>
      <c r="CN21" s="109" t="b">
        <v>1</v>
      </c>
    </row>
    <row r="22">
      <c r="A22" s="109" t="s">
        <v>1010</v>
      </c>
      <c r="B22" s="109">
        <v>8.318601983E9</v>
      </c>
      <c r="C22" s="109" t="s">
        <v>1011</v>
      </c>
      <c r="D22" s="109" t="s">
        <v>83</v>
      </c>
      <c r="F22" s="109" t="b">
        <v>0</v>
      </c>
      <c r="G22" s="109" t="b">
        <v>0</v>
      </c>
      <c r="H22" s="109" t="b">
        <v>0</v>
      </c>
      <c r="I22" s="109" t="b">
        <v>0</v>
      </c>
      <c r="J22" s="109" t="b">
        <v>0</v>
      </c>
      <c r="K22" s="109" t="b">
        <v>0</v>
      </c>
      <c r="L22" s="109" t="b">
        <v>1</v>
      </c>
      <c r="M22" s="109" t="b">
        <v>1</v>
      </c>
      <c r="N22" s="109" t="b">
        <v>0</v>
      </c>
      <c r="O22" s="109" t="b">
        <v>0</v>
      </c>
      <c r="P22" s="109" t="b">
        <v>0</v>
      </c>
      <c r="Q22" s="109" t="b">
        <v>1</v>
      </c>
      <c r="R22" s="109" t="b">
        <v>1</v>
      </c>
      <c r="S22" s="109" t="b">
        <v>1</v>
      </c>
      <c r="T22" s="109" t="b">
        <v>1</v>
      </c>
      <c r="U22" s="109" t="b">
        <v>1</v>
      </c>
      <c r="V22" s="109" t="b">
        <v>1</v>
      </c>
      <c r="W22" s="109" t="b">
        <v>1</v>
      </c>
      <c r="X22" s="109" t="b">
        <v>1</v>
      </c>
      <c r="Y22" s="109" t="b">
        <v>1</v>
      </c>
      <c r="Z22" s="109" t="b">
        <v>1</v>
      </c>
      <c r="AA22" s="109" t="b">
        <v>1</v>
      </c>
      <c r="AB22" s="109" t="b">
        <v>1</v>
      </c>
      <c r="AC22" s="109" t="b">
        <v>0</v>
      </c>
      <c r="AD22" s="109" t="b">
        <v>1</v>
      </c>
      <c r="AE22" s="109" t="b">
        <v>1</v>
      </c>
      <c r="AF22" s="109" t="b">
        <v>1</v>
      </c>
      <c r="AG22" s="109" t="b">
        <v>1</v>
      </c>
      <c r="AH22" s="109" t="b">
        <v>1</v>
      </c>
      <c r="AI22" s="109" t="b">
        <v>1</v>
      </c>
      <c r="AJ22" s="109" t="b">
        <v>1</v>
      </c>
      <c r="AK22" s="109" t="b">
        <v>1</v>
      </c>
      <c r="AL22" s="109" t="b">
        <v>1</v>
      </c>
      <c r="AM22" s="109" t="b">
        <v>1</v>
      </c>
      <c r="AN22" s="109" t="b">
        <v>1</v>
      </c>
      <c r="AO22" s="109" t="b">
        <v>1</v>
      </c>
      <c r="AP22" s="109" t="b">
        <v>1</v>
      </c>
      <c r="AQ22" s="109" t="b">
        <v>1</v>
      </c>
      <c r="AR22" s="109" t="b">
        <v>1</v>
      </c>
      <c r="AS22" s="109" t="b">
        <v>1</v>
      </c>
      <c r="AT22" s="109" t="b">
        <v>1</v>
      </c>
      <c r="AU22" s="109" t="b">
        <v>1</v>
      </c>
      <c r="AV22" s="109" t="b">
        <v>1</v>
      </c>
      <c r="AW22" s="109" t="b">
        <v>0</v>
      </c>
      <c r="AX22" s="109" t="b">
        <v>1</v>
      </c>
      <c r="AY22" s="109" t="b">
        <v>0</v>
      </c>
      <c r="AZ22" s="109" t="b">
        <v>1</v>
      </c>
      <c r="BA22" s="109" t="b">
        <v>1</v>
      </c>
      <c r="BB22" s="109" t="b">
        <v>1</v>
      </c>
      <c r="BC22" s="109" t="b">
        <v>0</v>
      </c>
      <c r="BD22" s="109" t="b">
        <v>1</v>
      </c>
      <c r="BE22" s="109" t="b">
        <v>1</v>
      </c>
      <c r="BF22" s="109" t="b">
        <v>0</v>
      </c>
      <c r="BG22" s="109" t="b">
        <v>0</v>
      </c>
      <c r="BH22" s="109" t="b">
        <v>1</v>
      </c>
      <c r="BI22" s="109" t="b">
        <v>1</v>
      </c>
      <c r="BJ22" s="109" t="b">
        <v>1</v>
      </c>
      <c r="BK22" s="109" t="b">
        <v>1</v>
      </c>
      <c r="BL22" s="109" t="b">
        <v>1</v>
      </c>
      <c r="BM22" s="109" t="b">
        <v>1</v>
      </c>
      <c r="BN22" s="109" t="b">
        <v>1</v>
      </c>
      <c r="BO22" s="109" t="b">
        <v>1</v>
      </c>
      <c r="BP22" s="109" t="b">
        <v>1</v>
      </c>
      <c r="BQ22" s="109" t="b">
        <v>1</v>
      </c>
      <c r="BR22" s="109" t="b">
        <v>1</v>
      </c>
      <c r="BS22" s="109" t="b">
        <v>1</v>
      </c>
      <c r="BT22" s="109" t="b">
        <v>1</v>
      </c>
      <c r="BU22" s="109" t="b">
        <v>1</v>
      </c>
      <c r="BV22" s="109" t="b">
        <v>1</v>
      </c>
      <c r="BW22" s="109" t="b">
        <v>1</v>
      </c>
      <c r="BX22" s="109" t="b">
        <v>1</v>
      </c>
      <c r="BY22" s="109" t="b">
        <v>1</v>
      </c>
      <c r="BZ22" s="109" t="b">
        <v>1</v>
      </c>
      <c r="CA22" s="109" t="b">
        <v>1</v>
      </c>
      <c r="CB22" s="109" t="b">
        <v>1</v>
      </c>
      <c r="CC22" s="109" t="b">
        <v>1</v>
      </c>
      <c r="CD22" s="109" t="b">
        <v>1</v>
      </c>
      <c r="CE22" s="109" t="b">
        <v>1</v>
      </c>
      <c r="CF22" s="109" t="b">
        <v>1</v>
      </c>
      <c r="CG22" s="109" t="b">
        <v>1</v>
      </c>
      <c r="CH22" s="109" t="b">
        <v>1</v>
      </c>
      <c r="CI22" s="109" t="b">
        <v>1</v>
      </c>
      <c r="CJ22" s="109" t="b">
        <v>1</v>
      </c>
      <c r="CK22" s="109" t="b">
        <v>1</v>
      </c>
      <c r="CL22" s="109" t="b">
        <v>1</v>
      </c>
      <c r="CM22" s="109" t="b">
        <v>1</v>
      </c>
      <c r="CN22" s="109" t="b">
        <v>1</v>
      </c>
    </row>
    <row r="23">
      <c r="A23" s="109" t="s">
        <v>1012</v>
      </c>
      <c r="B23" s="109">
        <v>8.601435211E9</v>
      </c>
      <c r="C23" s="122" t="s">
        <v>1013</v>
      </c>
      <c r="D23" s="109" t="s">
        <v>83</v>
      </c>
      <c r="F23" s="109" t="b">
        <v>0</v>
      </c>
      <c r="G23" s="109" t="b">
        <v>0</v>
      </c>
      <c r="H23" s="109" t="b">
        <v>0</v>
      </c>
      <c r="I23" s="109" t="b">
        <v>0</v>
      </c>
      <c r="J23" s="109" t="b">
        <v>0</v>
      </c>
      <c r="K23" s="109" t="b">
        <v>0</v>
      </c>
      <c r="L23" s="109" t="b">
        <v>0</v>
      </c>
      <c r="M23" s="109" t="b">
        <v>1</v>
      </c>
      <c r="N23" s="109" t="b">
        <v>1</v>
      </c>
      <c r="O23" s="109" t="b">
        <v>0</v>
      </c>
      <c r="P23" s="109" t="b">
        <v>0</v>
      </c>
      <c r="Q23" s="109" t="b">
        <v>1</v>
      </c>
      <c r="R23" s="109" t="b">
        <v>1</v>
      </c>
      <c r="S23" s="109" t="b">
        <v>0</v>
      </c>
      <c r="T23" s="109" t="b">
        <v>0</v>
      </c>
      <c r="U23" s="109" t="b">
        <v>0</v>
      </c>
      <c r="V23" s="109" t="b">
        <v>0</v>
      </c>
      <c r="W23" s="109" t="b">
        <v>0</v>
      </c>
      <c r="X23" s="109" t="b">
        <v>1</v>
      </c>
      <c r="Y23" s="109" t="b">
        <v>0</v>
      </c>
      <c r="Z23" s="109" t="b">
        <v>0</v>
      </c>
      <c r="AA23" s="109" t="b">
        <v>0</v>
      </c>
      <c r="AB23" s="109" t="b">
        <v>0</v>
      </c>
      <c r="AC23" s="109" t="b">
        <v>0</v>
      </c>
      <c r="AD23" s="109" t="b">
        <v>0</v>
      </c>
      <c r="AE23" s="109" t="b">
        <v>0</v>
      </c>
      <c r="AF23" s="109" t="b">
        <v>0</v>
      </c>
      <c r="AG23" s="109" t="b">
        <v>1</v>
      </c>
      <c r="AH23" s="109" t="b">
        <v>0</v>
      </c>
      <c r="AI23" s="109" t="b">
        <v>1</v>
      </c>
      <c r="AJ23" s="109" t="b">
        <v>1</v>
      </c>
      <c r="AK23" s="109" t="b">
        <v>1</v>
      </c>
      <c r="AL23" s="109" t="b">
        <v>1</v>
      </c>
      <c r="AM23" s="109" t="b">
        <v>1</v>
      </c>
      <c r="AN23" s="109" t="b">
        <v>1</v>
      </c>
      <c r="AO23" s="109" t="b">
        <v>1</v>
      </c>
      <c r="AP23" s="109" t="b">
        <v>1</v>
      </c>
      <c r="AQ23" s="109" t="b">
        <v>1</v>
      </c>
      <c r="AR23" s="109" t="b">
        <v>1</v>
      </c>
      <c r="AS23" s="109" t="b">
        <v>1</v>
      </c>
      <c r="AT23" s="109" t="b">
        <v>1</v>
      </c>
      <c r="AU23" s="109" t="b">
        <v>1</v>
      </c>
      <c r="AV23" s="109" t="b">
        <v>0</v>
      </c>
      <c r="AW23" s="109" t="b">
        <v>1</v>
      </c>
      <c r="AX23" s="109" t="b">
        <v>1</v>
      </c>
      <c r="AY23" s="109" t="b">
        <v>0</v>
      </c>
      <c r="AZ23" s="109" t="b">
        <v>1</v>
      </c>
      <c r="BA23" s="109" t="b">
        <v>1</v>
      </c>
      <c r="BB23" s="109" t="b">
        <v>1</v>
      </c>
      <c r="BC23" s="109" t="b">
        <v>1</v>
      </c>
      <c r="BD23" s="109" t="b">
        <v>1</v>
      </c>
      <c r="BE23" s="109" t="b">
        <v>1</v>
      </c>
      <c r="BF23" s="109" t="b">
        <v>0</v>
      </c>
      <c r="BG23" s="109" t="b">
        <v>1</v>
      </c>
      <c r="BH23" s="109" t="b">
        <v>1</v>
      </c>
      <c r="BI23" s="109" t="b">
        <v>1</v>
      </c>
      <c r="BJ23" s="109" t="b">
        <v>1</v>
      </c>
      <c r="BK23" s="109" t="b">
        <v>1</v>
      </c>
      <c r="BL23" s="109" t="b">
        <v>1</v>
      </c>
      <c r="BM23" s="109" t="b">
        <v>1</v>
      </c>
      <c r="BN23" s="109" t="b">
        <v>1</v>
      </c>
      <c r="BO23" s="109" t="b">
        <v>1</v>
      </c>
      <c r="BP23" s="109" t="b">
        <v>1</v>
      </c>
      <c r="BQ23" s="109" t="b">
        <v>1</v>
      </c>
      <c r="BR23" s="109" t="b">
        <v>1</v>
      </c>
      <c r="BS23" s="109" t="b">
        <v>1</v>
      </c>
      <c r="BT23" s="109" t="b">
        <v>0</v>
      </c>
      <c r="BU23" s="109" t="b">
        <v>1</v>
      </c>
      <c r="BV23" s="109" t="b">
        <v>1</v>
      </c>
      <c r="BW23" s="109" t="b">
        <v>1</v>
      </c>
      <c r="BX23" s="109" t="b">
        <v>1</v>
      </c>
      <c r="BY23" s="109" t="b">
        <v>1</v>
      </c>
      <c r="BZ23" s="109" t="b">
        <v>1</v>
      </c>
      <c r="CA23" s="109" t="b">
        <v>1</v>
      </c>
      <c r="CB23" s="109" t="b">
        <v>1</v>
      </c>
      <c r="CC23" s="109" t="b">
        <v>1</v>
      </c>
      <c r="CD23" s="109" t="b">
        <v>1</v>
      </c>
      <c r="CE23" s="109" t="b">
        <v>0</v>
      </c>
      <c r="CF23" s="109" t="b">
        <v>0</v>
      </c>
      <c r="CG23" s="109" t="b">
        <v>1</v>
      </c>
      <c r="CH23" s="109" t="b">
        <v>1</v>
      </c>
      <c r="CI23" s="109" t="b">
        <v>0</v>
      </c>
      <c r="CJ23" s="109" t="b">
        <v>0</v>
      </c>
      <c r="CK23" s="109" t="b">
        <v>1</v>
      </c>
      <c r="CL23" s="109" t="b">
        <v>1</v>
      </c>
      <c r="CM23" s="109" t="b">
        <v>1</v>
      </c>
      <c r="CN23" s="109" t="b">
        <v>1</v>
      </c>
    </row>
    <row r="24">
      <c r="A24" s="109" t="s">
        <v>1014</v>
      </c>
      <c r="B24" s="109">
        <v>7.398432868E9</v>
      </c>
      <c r="C24" s="109" t="s">
        <v>1015</v>
      </c>
      <c r="D24" s="109" t="s">
        <v>83</v>
      </c>
      <c r="F24" s="109" t="b">
        <v>0</v>
      </c>
      <c r="G24" s="109" t="b">
        <v>0</v>
      </c>
      <c r="H24" s="109" t="b">
        <v>0</v>
      </c>
      <c r="I24" s="109" t="b">
        <v>0</v>
      </c>
      <c r="J24" s="109" t="b">
        <v>0</v>
      </c>
      <c r="K24" s="109" t="b">
        <v>0</v>
      </c>
      <c r="L24" s="109" t="b">
        <v>0</v>
      </c>
      <c r="M24" s="109" t="b">
        <v>0</v>
      </c>
      <c r="N24" s="109" t="b">
        <v>0</v>
      </c>
      <c r="O24" s="109" t="b">
        <v>1</v>
      </c>
      <c r="P24" s="109" t="b">
        <v>1</v>
      </c>
      <c r="Q24" s="109" t="b">
        <v>1</v>
      </c>
      <c r="R24" s="109" t="b">
        <v>1</v>
      </c>
      <c r="S24" s="109" t="b">
        <v>1</v>
      </c>
      <c r="T24" s="109" t="b">
        <v>1</v>
      </c>
      <c r="U24" s="109" t="b">
        <v>0</v>
      </c>
      <c r="V24" s="109" t="b">
        <v>1</v>
      </c>
      <c r="W24" s="109" t="b">
        <v>0</v>
      </c>
      <c r="X24" s="109" t="b">
        <v>1</v>
      </c>
      <c r="Y24" s="109" t="b">
        <v>0</v>
      </c>
      <c r="Z24" s="109" t="b">
        <v>0</v>
      </c>
      <c r="AA24" s="109" t="b">
        <v>0</v>
      </c>
      <c r="AB24" s="109" t="b">
        <v>0</v>
      </c>
      <c r="AC24" s="109" t="b">
        <v>0</v>
      </c>
      <c r="AD24" s="109" t="b">
        <v>1</v>
      </c>
      <c r="AE24" s="109" t="b">
        <v>1</v>
      </c>
      <c r="AF24" s="109" t="b">
        <v>0</v>
      </c>
      <c r="AG24" s="109" t="b">
        <v>1</v>
      </c>
      <c r="AH24" s="109" t="b">
        <v>1</v>
      </c>
      <c r="AI24" s="109" t="b">
        <v>1</v>
      </c>
      <c r="AJ24" s="109" t="b">
        <v>1</v>
      </c>
      <c r="AK24" s="109" t="b">
        <v>1</v>
      </c>
      <c r="AL24" s="109" t="b">
        <v>1</v>
      </c>
      <c r="AM24" s="109" t="b">
        <v>1</v>
      </c>
      <c r="AN24" s="109" t="b">
        <v>1</v>
      </c>
      <c r="AO24" s="109" t="b">
        <v>1</v>
      </c>
      <c r="AP24" s="109" t="b">
        <v>1</v>
      </c>
      <c r="AQ24" s="109" t="b">
        <v>1</v>
      </c>
      <c r="AR24" s="109" t="b">
        <v>0</v>
      </c>
      <c r="AS24" s="109" t="b">
        <v>1</v>
      </c>
      <c r="AT24" s="109" t="b">
        <v>1</v>
      </c>
      <c r="AU24" s="109" t="b">
        <v>1</v>
      </c>
      <c r="AV24" s="109" t="b">
        <v>1</v>
      </c>
      <c r="AW24" s="109" t="b">
        <v>0</v>
      </c>
      <c r="AX24" s="109" t="b">
        <v>1</v>
      </c>
      <c r="AY24" s="109" t="b">
        <v>0</v>
      </c>
      <c r="AZ24" s="109" t="b">
        <v>1</v>
      </c>
      <c r="BA24" s="109" t="b">
        <v>1</v>
      </c>
      <c r="BB24" s="109" t="b">
        <v>1</v>
      </c>
      <c r="BC24" s="109" t="b">
        <v>0</v>
      </c>
      <c r="BD24" s="109" t="b">
        <v>0</v>
      </c>
      <c r="BE24" s="109" t="b">
        <v>1</v>
      </c>
      <c r="BF24" s="109" t="b">
        <v>0</v>
      </c>
      <c r="BG24" s="109" t="b">
        <v>0</v>
      </c>
      <c r="BH24" s="109" t="b">
        <v>0</v>
      </c>
      <c r="BI24" s="109" t="b">
        <v>1</v>
      </c>
      <c r="BJ24" s="109" t="b">
        <v>1</v>
      </c>
      <c r="BK24" s="109" t="b">
        <v>1</v>
      </c>
      <c r="BL24" s="109" t="b">
        <v>1</v>
      </c>
      <c r="BM24" s="109" t="b">
        <v>1</v>
      </c>
      <c r="BN24" s="109" t="b">
        <v>1</v>
      </c>
      <c r="BO24" s="109" t="b">
        <v>0</v>
      </c>
      <c r="BP24" s="109" t="b">
        <v>1</v>
      </c>
      <c r="BQ24" s="109" t="b">
        <v>1</v>
      </c>
      <c r="BR24" s="109" t="b">
        <v>0</v>
      </c>
      <c r="BS24" s="109" t="b">
        <v>1</v>
      </c>
      <c r="BT24" s="109" t="b">
        <v>1</v>
      </c>
      <c r="BU24" s="109" t="b">
        <v>1</v>
      </c>
      <c r="BV24" s="109" t="b">
        <v>0</v>
      </c>
      <c r="BW24" s="109" t="b">
        <v>0</v>
      </c>
      <c r="BX24" s="109" t="b">
        <v>1</v>
      </c>
      <c r="BY24" s="109" t="b">
        <v>1</v>
      </c>
      <c r="BZ24" s="109" t="b">
        <v>0</v>
      </c>
      <c r="CA24" s="109" t="b">
        <v>1</v>
      </c>
      <c r="CB24" s="109" t="b">
        <v>1</v>
      </c>
      <c r="CC24" s="109" t="b">
        <v>1</v>
      </c>
      <c r="CD24" s="109" t="b">
        <v>1</v>
      </c>
      <c r="CE24" s="109" t="b">
        <v>0</v>
      </c>
      <c r="CF24" s="109" t="b">
        <v>1</v>
      </c>
      <c r="CG24" s="109" t="b">
        <v>1</v>
      </c>
      <c r="CH24" s="109" t="b">
        <v>1</v>
      </c>
      <c r="CI24" s="109" t="b">
        <v>1</v>
      </c>
      <c r="CJ24" s="109" t="b">
        <v>0</v>
      </c>
      <c r="CK24" s="109" t="b">
        <v>1</v>
      </c>
      <c r="CL24" s="109" t="b">
        <v>1</v>
      </c>
      <c r="CM24" s="109" t="b">
        <v>1</v>
      </c>
      <c r="CN24" s="109" t="b">
        <v>1</v>
      </c>
    </row>
    <row r="25">
      <c r="A25" s="109" t="s">
        <v>1016</v>
      </c>
      <c r="B25" s="109">
        <v>8.853336269E9</v>
      </c>
      <c r="C25" s="109" t="s">
        <v>1017</v>
      </c>
      <c r="D25" s="109" t="s">
        <v>83</v>
      </c>
      <c r="F25" s="109" t="b">
        <v>0</v>
      </c>
      <c r="G25" s="109" t="b">
        <v>0</v>
      </c>
      <c r="H25" s="109" t="b">
        <v>1</v>
      </c>
      <c r="I25" s="109" t="b">
        <v>0</v>
      </c>
      <c r="J25" s="109" t="b">
        <v>0</v>
      </c>
      <c r="K25" s="109" t="b">
        <v>0</v>
      </c>
      <c r="L25" s="109" t="b">
        <v>0</v>
      </c>
      <c r="M25" s="109" t="b">
        <v>1</v>
      </c>
      <c r="N25" s="109" t="b">
        <v>0</v>
      </c>
      <c r="O25" s="109" t="b">
        <v>0</v>
      </c>
      <c r="P25" s="109" t="b">
        <v>1</v>
      </c>
      <c r="Q25" s="109" t="b">
        <v>1</v>
      </c>
      <c r="R25" s="109" t="b">
        <v>1</v>
      </c>
      <c r="S25" s="109" t="b">
        <v>1</v>
      </c>
      <c r="T25" s="109" t="b">
        <v>1</v>
      </c>
      <c r="U25" s="109" t="b">
        <v>1</v>
      </c>
      <c r="V25" s="109" t="b">
        <v>0</v>
      </c>
      <c r="W25" s="109" t="b">
        <v>0</v>
      </c>
      <c r="X25" s="109" t="b">
        <v>1</v>
      </c>
      <c r="Y25" s="109" t="b">
        <v>0</v>
      </c>
      <c r="Z25" s="109" t="b">
        <v>0</v>
      </c>
      <c r="AA25" s="109" t="b">
        <v>0</v>
      </c>
      <c r="AB25" s="109" t="b">
        <v>0</v>
      </c>
      <c r="AC25" s="109" t="b">
        <v>1</v>
      </c>
      <c r="AD25" s="109" t="b">
        <v>1</v>
      </c>
      <c r="AE25" s="109" t="b">
        <v>1</v>
      </c>
      <c r="AF25" s="109" t="b">
        <v>1</v>
      </c>
      <c r="AG25" s="109" t="b">
        <v>1</v>
      </c>
      <c r="AH25" s="109" t="b">
        <v>1</v>
      </c>
      <c r="AI25" s="109" t="b">
        <v>1</v>
      </c>
      <c r="AJ25" s="109" t="b">
        <v>1</v>
      </c>
      <c r="AK25" s="109" t="b">
        <v>1</v>
      </c>
      <c r="AL25" s="109" t="b">
        <v>1</v>
      </c>
      <c r="AM25" s="109" t="b">
        <v>1</v>
      </c>
      <c r="AN25" s="109" t="b">
        <v>1</v>
      </c>
      <c r="AO25" s="109" t="b">
        <v>1</v>
      </c>
      <c r="AP25" s="109" t="b">
        <v>1</v>
      </c>
      <c r="AQ25" s="109" t="b">
        <v>0</v>
      </c>
      <c r="AR25" s="109" t="b">
        <v>1</v>
      </c>
      <c r="AS25" s="109" t="b">
        <v>1</v>
      </c>
      <c r="AT25" s="109" t="b">
        <v>0</v>
      </c>
      <c r="AU25" s="109" t="b">
        <v>1</v>
      </c>
      <c r="AV25" s="109" t="b">
        <v>1</v>
      </c>
      <c r="AW25" s="109" t="b">
        <v>0</v>
      </c>
      <c r="AX25" s="109" t="b">
        <v>1</v>
      </c>
      <c r="AY25" s="109" t="b">
        <v>0</v>
      </c>
      <c r="AZ25" s="109" t="b">
        <v>1</v>
      </c>
      <c r="BA25" s="109" t="b">
        <v>1</v>
      </c>
      <c r="BB25" s="109" t="b">
        <v>1</v>
      </c>
      <c r="BC25" s="109" t="b">
        <v>1</v>
      </c>
      <c r="BD25" s="109" t="b">
        <v>1</v>
      </c>
      <c r="BE25" s="109" t="b">
        <v>1</v>
      </c>
      <c r="BF25" s="109" t="b">
        <v>1</v>
      </c>
      <c r="BG25" s="109" t="b">
        <v>1</v>
      </c>
      <c r="BH25" s="109" t="b">
        <v>1</v>
      </c>
      <c r="BI25" s="109" t="b">
        <v>1</v>
      </c>
      <c r="BJ25" s="109" t="b">
        <v>1</v>
      </c>
      <c r="BK25" s="109" t="b">
        <v>1</v>
      </c>
      <c r="BL25" s="109" t="b">
        <v>1</v>
      </c>
      <c r="BM25" s="109" t="b">
        <v>1</v>
      </c>
      <c r="BN25" s="109" t="b">
        <v>1</v>
      </c>
      <c r="BO25" s="109" t="b">
        <v>0</v>
      </c>
      <c r="BP25" s="109" t="b">
        <v>1</v>
      </c>
      <c r="BQ25" s="109" t="b">
        <v>1</v>
      </c>
      <c r="BR25" s="109" t="b">
        <v>0</v>
      </c>
      <c r="BS25" s="109" t="b">
        <v>1</v>
      </c>
      <c r="BT25" s="109" t="b">
        <v>1</v>
      </c>
      <c r="BU25" s="109" t="b">
        <v>1</v>
      </c>
      <c r="BV25" s="109" t="b">
        <v>1</v>
      </c>
      <c r="BW25" s="109" t="b">
        <v>1</v>
      </c>
      <c r="BX25" s="109" t="b">
        <v>1</v>
      </c>
      <c r="BY25" s="109" t="b">
        <v>1</v>
      </c>
      <c r="BZ25" s="109" t="b">
        <v>1</v>
      </c>
      <c r="CA25" s="109" t="b">
        <v>1</v>
      </c>
      <c r="CB25" s="109" t="b">
        <v>1</v>
      </c>
      <c r="CC25" s="109" t="b">
        <v>1</v>
      </c>
      <c r="CD25" s="109" t="b">
        <v>1</v>
      </c>
      <c r="CE25" s="109" t="b">
        <v>0</v>
      </c>
      <c r="CF25" s="109" t="b">
        <v>1</v>
      </c>
      <c r="CG25" s="109" t="b">
        <v>1</v>
      </c>
      <c r="CH25" s="109" t="b">
        <v>1</v>
      </c>
      <c r="CI25" s="109" t="b">
        <v>1</v>
      </c>
      <c r="CJ25" s="109" t="b">
        <v>0</v>
      </c>
      <c r="CK25" s="109" t="b">
        <v>1</v>
      </c>
      <c r="CL25" s="109" t="b">
        <v>1</v>
      </c>
      <c r="CM25" s="109" t="b">
        <v>1</v>
      </c>
      <c r="CN25" s="109" t="b">
        <v>1</v>
      </c>
    </row>
    <row r="26">
      <c r="A26" s="109" t="s">
        <v>1018</v>
      </c>
      <c r="B26" s="109">
        <v>7.70600218E9</v>
      </c>
      <c r="C26" s="109" t="s">
        <v>1019</v>
      </c>
      <c r="D26" s="109" t="s">
        <v>83</v>
      </c>
      <c r="F26" s="109" t="b">
        <v>0</v>
      </c>
      <c r="G26" s="109" t="b">
        <v>0</v>
      </c>
      <c r="H26" s="109" t="b">
        <v>1</v>
      </c>
      <c r="I26" s="109" t="b">
        <v>0</v>
      </c>
      <c r="J26" s="109" t="b">
        <v>0</v>
      </c>
      <c r="K26" s="109" t="b">
        <v>1</v>
      </c>
      <c r="L26" s="109" t="b">
        <v>1</v>
      </c>
      <c r="M26" s="109" t="b">
        <v>1</v>
      </c>
      <c r="N26" s="109" t="b">
        <v>1</v>
      </c>
      <c r="O26" s="109" t="b">
        <v>0</v>
      </c>
      <c r="P26" s="109" t="b">
        <v>1</v>
      </c>
      <c r="Q26" s="109" t="b">
        <v>1</v>
      </c>
      <c r="R26" s="109" t="b">
        <v>1</v>
      </c>
      <c r="S26" s="109" t="b">
        <v>1</v>
      </c>
      <c r="T26" s="109" t="b">
        <v>1</v>
      </c>
      <c r="U26" s="109" t="b">
        <v>1</v>
      </c>
      <c r="V26" s="109" t="b">
        <v>1</v>
      </c>
      <c r="W26" s="109" t="b">
        <v>0</v>
      </c>
      <c r="X26" s="109" t="b">
        <v>1</v>
      </c>
      <c r="Y26" s="109" t="b">
        <v>0</v>
      </c>
      <c r="Z26" s="109" t="b">
        <v>0</v>
      </c>
      <c r="AA26" s="109" t="b">
        <v>0</v>
      </c>
      <c r="AB26" s="109" t="b">
        <v>0</v>
      </c>
      <c r="AC26" s="109" t="b">
        <v>1</v>
      </c>
      <c r="AD26" s="109" t="b">
        <v>1</v>
      </c>
      <c r="AE26" s="109" t="b">
        <v>1</v>
      </c>
      <c r="AF26" s="109" t="b">
        <v>1</v>
      </c>
      <c r="AG26" s="109" t="b">
        <v>1</v>
      </c>
      <c r="AH26" s="109" t="b">
        <v>1</v>
      </c>
      <c r="AI26" s="109" t="b">
        <v>1</v>
      </c>
      <c r="AJ26" s="109" t="b">
        <v>1</v>
      </c>
      <c r="AK26" s="109" t="b">
        <v>1</v>
      </c>
      <c r="AL26" s="109" t="b">
        <v>1</v>
      </c>
      <c r="AM26" s="109" t="b">
        <v>1</v>
      </c>
      <c r="AN26" s="109" t="b">
        <v>1</v>
      </c>
      <c r="AO26" s="109" t="b">
        <v>1</v>
      </c>
      <c r="AP26" s="109" t="b">
        <v>1</v>
      </c>
      <c r="AQ26" s="109" t="b">
        <v>0</v>
      </c>
      <c r="AR26" s="109" t="b">
        <v>1</v>
      </c>
      <c r="AS26" s="109" t="b">
        <v>1</v>
      </c>
      <c r="AT26" s="109" t="b">
        <v>0</v>
      </c>
      <c r="AU26" s="109" t="b">
        <v>1</v>
      </c>
      <c r="AV26" s="109" t="b">
        <v>1</v>
      </c>
      <c r="AW26" s="109" t="b">
        <v>0</v>
      </c>
      <c r="AX26" s="109" t="b">
        <v>1</v>
      </c>
      <c r="AY26" s="109" t="b">
        <v>1</v>
      </c>
      <c r="AZ26" s="109" t="b">
        <v>1</v>
      </c>
      <c r="BA26" s="109" t="b">
        <v>1</v>
      </c>
      <c r="BB26" s="109" t="b">
        <v>1</v>
      </c>
      <c r="BC26" s="109" t="b">
        <v>1</v>
      </c>
      <c r="BD26" s="109" t="b">
        <v>1</v>
      </c>
      <c r="BE26" s="109" t="b">
        <v>1</v>
      </c>
      <c r="BF26" s="109" t="b">
        <v>1</v>
      </c>
      <c r="BG26" s="109" t="b">
        <v>1</v>
      </c>
      <c r="BH26" s="109" t="b">
        <v>0</v>
      </c>
      <c r="BI26" s="109" t="b">
        <v>1</v>
      </c>
      <c r="BJ26" s="109" t="b">
        <v>1</v>
      </c>
      <c r="BK26" s="109" t="b">
        <v>1</v>
      </c>
      <c r="BL26" s="109" t="b">
        <v>1</v>
      </c>
      <c r="BM26" s="109" t="b">
        <v>1</v>
      </c>
      <c r="BN26" s="109" t="b">
        <v>1</v>
      </c>
      <c r="BO26" s="109" t="b">
        <v>0</v>
      </c>
      <c r="BP26" s="109" t="b">
        <v>1</v>
      </c>
      <c r="BQ26" s="109" t="b">
        <v>1</v>
      </c>
      <c r="BR26" s="109" t="b">
        <v>0</v>
      </c>
      <c r="BS26" s="109" t="b">
        <v>1</v>
      </c>
      <c r="BT26" s="109" t="b">
        <v>1</v>
      </c>
      <c r="BU26" s="109" t="b">
        <v>1</v>
      </c>
      <c r="BV26" s="109" t="b">
        <v>1</v>
      </c>
      <c r="BW26" s="109" t="b">
        <v>1</v>
      </c>
      <c r="BX26" s="109" t="b">
        <v>1</v>
      </c>
      <c r="BY26" s="109" t="b">
        <v>1</v>
      </c>
      <c r="BZ26" s="109" t="b">
        <v>1</v>
      </c>
      <c r="CA26" s="109" t="b">
        <v>0</v>
      </c>
      <c r="CB26" s="109" t="b">
        <v>1</v>
      </c>
      <c r="CC26" s="109" t="b">
        <v>1</v>
      </c>
      <c r="CD26" s="109" t="b">
        <v>1</v>
      </c>
      <c r="CE26" s="109" t="b">
        <v>1</v>
      </c>
      <c r="CF26" s="109" t="b">
        <v>1</v>
      </c>
      <c r="CG26" s="109" t="b">
        <v>1</v>
      </c>
      <c r="CH26" s="109" t="b">
        <v>1</v>
      </c>
      <c r="CI26" s="109" t="b">
        <v>1</v>
      </c>
      <c r="CJ26" s="109" t="b">
        <v>0</v>
      </c>
      <c r="CK26" s="109" t="b">
        <v>1</v>
      </c>
      <c r="CL26" s="109" t="b">
        <v>1</v>
      </c>
      <c r="CM26" s="109" t="b">
        <v>1</v>
      </c>
      <c r="CN26" s="109" t="b">
        <v>1</v>
      </c>
    </row>
    <row r="27">
      <c r="A27" s="109" t="s">
        <v>1020</v>
      </c>
      <c r="B27" s="109">
        <v>9.415456055E9</v>
      </c>
      <c r="C27" s="109" t="s">
        <v>1021</v>
      </c>
      <c r="D27" s="109" t="s">
        <v>83</v>
      </c>
      <c r="F27" s="109" t="b">
        <v>0</v>
      </c>
      <c r="G27" s="109" t="b">
        <v>0</v>
      </c>
      <c r="H27" s="109" t="b">
        <v>0</v>
      </c>
      <c r="I27" s="109" t="b">
        <v>0</v>
      </c>
      <c r="J27" s="109" t="b">
        <v>0</v>
      </c>
      <c r="K27" s="109" t="b">
        <v>0</v>
      </c>
      <c r="L27" s="109" t="b">
        <v>0</v>
      </c>
      <c r="M27" s="109" t="b">
        <v>1</v>
      </c>
      <c r="N27" s="109" t="b">
        <v>0</v>
      </c>
      <c r="O27" s="109" t="b">
        <v>0</v>
      </c>
      <c r="P27" s="109" t="b">
        <v>0</v>
      </c>
      <c r="Q27" s="109" t="b">
        <v>0</v>
      </c>
      <c r="R27" s="109" t="b">
        <v>0</v>
      </c>
      <c r="S27" s="109" t="b">
        <v>0</v>
      </c>
      <c r="T27" s="109" t="b">
        <v>1</v>
      </c>
      <c r="U27" s="109" t="b">
        <v>0</v>
      </c>
      <c r="V27" s="109" t="b">
        <v>1</v>
      </c>
      <c r="W27" s="109" t="b">
        <v>0</v>
      </c>
      <c r="X27" s="109" t="b">
        <v>1</v>
      </c>
      <c r="Y27" s="109" t="b">
        <v>0</v>
      </c>
      <c r="Z27" s="109" t="b">
        <v>1</v>
      </c>
      <c r="AA27" s="109" t="b">
        <v>0</v>
      </c>
      <c r="AB27" s="109" t="b">
        <v>0</v>
      </c>
      <c r="AC27" s="109" t="b">
        <v>0</v>
      </c>
      <c r="AD27" s="109" t="b">
        <v>1</v>
      </c>
      <c r="AE27" s="109" t="b">
        <v>1</v>
      </c>
      <c r="AF27" s="109" t="b">
        <v>0</v>
      </c>
      <c r="AG27" s="109" t="b">
        <v>1</v>
      </c>
      <c r="AH27" s="109" t="b">
        <v>0</v>
      </c>
      <c r="AI27" s="109" t="b">
        <v>0</v>
      </c>
      <c r="AJ27" s="109" t="b">
        <v>1</v>
      </c>
      <c r="AK27" s="109" t="b">
        <v>1</v>
      </c>
      <c r="AL27" s="109" t="b">
        <v>1</v>
      </c>
      <c r="AM27" s="109" t="b">
        <v>0</v>
      </c>
      <c r="AN27" s="109" t="b">
        <v>0</v>
      </c>
      <c r="AO27" s="109" t="b">
        <v>0</v>
      </c>
      <c r="AP27" s="109" t="b">
        <v>1</v>
      </c>
      <c r="AQ27" s="109" t="b">
        <v>0</v>
      </c>
      <c r="AR27" s="109" t="b">
        <v>0</v>
      </c>
      <c r="AS27" s="109" t="b">
        <v>1</v>
      </c>
      <c r="AT27" s="109" t="b">
        <v>0</v>
      </c>
      <c r="AU27" s="109" t="b">
        <v>1</v>
      </c>
      <c r="AV27" s="109" t="b">
        <v>1</v>
      </c>
      <c r="AW27" s="109" t="b">
        <v>0</v>
      </c>
      <c r="AX27" s="109" t="b">
        <v>1</v>
      </c>
      <c r="AY27" s="109" t="b">
        <v>1</v>
      </c>
      <c r="AZ27" s="109" t="b">
        <v>1</v>
      </c>
      <c r="BA27" s="109" t="b">
        <v>1</v>
      </c>
      <c r="BB27" s="109" t="b">
        <v>1</v>
      </c>
      <c r="BC27" s="109" t="b">
        <v>0</v>
      </c>
      <c r="BD27" s="109" t="b">
        <v>1</v>
      </c>
      <c r="BE27" s="109" t="b">
        <v>1</v>
      </c>
      <c r="BF27" s="109" t="b">
        <v>1</v>
      </c>
      <c r="BG27" s="109" t="b">
        <v>0</v>
      </c>
      <c r="BH27" s="109" t="b">
        <v>0</v>
      </c>
      <c r="BI27" s="109" t="b">
        <v>1</v>
      </c>
      <c r="BJ27" s="109" t="b">
        <v>1</v>
      </c>
      <c r="BK27" s="109" t="b">
        <v>1</v>
      </c>
      <c r="BL27" s="109" t="b">
        <v>1</v>
      </c>
      <c r="BM27" s="109" t="b">
        <v>1</v>
      </c>
      <c r="BN27" s="109" t="b">
        <v>1</v>
      </c>
      <c r="BO27" s="109" t="b">
        <v>1</v>
      </c>
      <c r="BP27" s="109" t="b">
        <v>1</v>
      </c>
      <c r="BQ27" s="109" t="b">
        <v>1</v>
      </c>
      <c r="BR27" s="109" t="b">
        <v>0</v>
      </c>
      <c r="BS27" s="109" t="b">
        <v>1</v>
      </c>
      <c r="BT27" s="109" t="b">
        <v>0</v>
      </c>
      <c r="BU27" s="109" t="b">
        <v>1</v>
      </c>
      <c r="BV27" s="109" t="b">
        <v>1</v>
      </c>
      <c r="BW27" s="109" t="b">
        <v>1</v>
      </c>
      <c r="BX27" s="109" t="b">
        <v>1</v>
      </c>
      <c r="BY27" s="109" t="b">
        <v>0</v>
      </c>
      <c r="BZ27" s="109" t="b">
        <v>0</v>
      </c>
      <c r="CA27" s="109" t="b">
        <v>1</v>
      </c>
      <c r="CB27" s="109" t="b">
        <v>1</v>
      </c>
      <c r="CC27" s="109" t="b">
        <v>1</v>
      </c>
      <c r="CD27" s="109" t="b">
        <v>1</v>
      </c>
      <c r="CE27" s="109" t="b">
        <v>0</v>
      </c>
      <c r="CF27" s="109" t="b">
        <v>0</v>
      </c>
      <c r="CG27" s="109" t="b">
        <v>0</v>
      </c>
      <c r="CH27" s="109" t="b">
        <v>1</v>
      </c>
      <c r="CI27" s="109" t="b">
        <v>1</v>
      </c>
      <c r="CJ27" s="109" t="b">
        <v>1</v>
      </c>
      <c r="CK27" s="109" t="b">
        <v>1</v>
      </c>
      <c r="CL27" s="109" t="b">
        <v>0</v>
      </c>
      <c r="CM27" s="109" t="b">
        <v>0</v>
      </c>
      <c r="CN27" s="109" t="b">
        <v>1</v>
      </c>
    </row>
    <row r="28">
      <c r="A28" s="109" t="s">
        <v>1022</v>
      </c>
      <c r="B28" s="109">
        <v>9.372077066E9</v>
      </c>
      <c r="C28" s="109" t="s">
        <v>1023</v>
      </c>
      <c r="D28" s="109" t="s">
        <v>83</v>
      </c>
      <c r="F28" s="109" t="b">
        <v>0</v>
      </c>
      <c r="G28" s="109" t="b">
        <v>0</v>
      </c>
      <c r="H28" s="109" t="b">
        <v>0</v>
      </c>
      <c r="I28" s="109" t="b">
        <v>0</v>
      </c>
      <c r="J28" s="109" t="b">
        <v>0</v>
      </c>
      <c r="K28" s="109" t="b">
        <v>0</v>
      </c>
      <c r="L28" s="109" t="b">
        <v>0</v>
      </c>
      <c r="M28" s="109" t="b">
        <v>0</v>
      </c>
      <c r="N28" s="109" t="b">
        <v>0</v>
      </c>
      <c r="O28" s="109" t="b">
        <v>0</v>
      </c>
      <c r="P28" s="109" t="b">
        <v>0</v>
      </c>
      <c r="Q28" s="109" t="b">
        <v>0</v>
      </c>
      <c r="R28" s="109" t="b">
        <v>0</v>
      </c>
      <c r="S28" s="109" t="b">
        <v>0</v>
      </c>
      <c r="T28" s="109" t="b">
        <v>0</v>
      </c>
      <c r="U28" s="109" t="b">
        <v>0</v>
      </c>
      <c r="V28" s="109" t="b">
        <v>0</v>
      </c>
      <c r="W28" s="109" t="b">
        <v>0</v>
      </c>
      <c r="X28" s="109" t="b">
        <v>1</v>
      </c>
      <c r="Y28" s="109" t="b">
        <v>0</v>
      </c>
      <c r="Z28" s="109" t="b">
        <v>0</v>
      </c>
      <c r="AA28" s="109" t="b">
        <v>0</v>
      </c>
      <c r="AB28" s="109" t="b">
        <v>0</v>
      </c>
      <c r="AC28" s="109" t="b">
        <v>0</v>
      </c>
      <c r="AD28" s="109" t="b">
        <v>0</v>
      </c>
      <c r="AE28" s="109" t="b">
        <v>0</v>
      </c>
      <c r="AF28" s="109" t="b">
        <v>0</v>
      </c>
      <c r="AG28" s="109" t="b">
        <v>1</v>
      </c>
      <c r="AH28" s="109" t="b">
        <v>0</v>
      </c>
      <c r="AI28" s="109" t="b">
        <v>0</v>
      </c>
      <c r="AJ28" s="109" t="b">
        <v>1</v>
      </c>
      <c r="AK28" s="109" t="b">
        <v>1</v>
      </c>
      <c r="AL28" s="109" t="b">
        <v>1</v>
      </c>
      <c r="AM28" s="109" t="b">
        <v>0</v>
      </c>
      <c r="AN28" s="109" t="b">
        <v>0</v>
      </c>
      <c r="AO28" s="109" t="b">
        <v>0</v>
      </c>
      <c r="AP28" s="109" t="b">
        <v>1</v>
      </c>
      <c r="AQ28" s="109" t="b">
        <v>0</v>
      </c>
      <c r="AR28" s="109" t="b">
        <v>0</v>
      </c>
      <c r="AS28" s="109" t="b">
        <v>0</v>
      </c>
      <c r="AT28" s="109" t="b">
        <v>0</v>
      </c>
      <c r="AU28" s="109" t="b">
        <v>0</v>
      </c>
      <c r="AV28" s="109" t="b">
        <v>0</v>
      </c>
      <c r="AW28" s="109" t="b">
        <v>0</v>
      </c>
      <c r="AX28" s="109" t="b">
        <v>1</v>
      </c>
      <c r="AY28" s="109" t="b">
        <v>1</v>
      </c>
      <c r="AZ28" s="109" t="b">
        <v>1</v>
      </c>
      <c r="BA28" s="109" t="b">
        <v>1</v>
      </c>
      <c r="BB28" s="109" t="b">
        <v>1</v>
      </c>
      <c r="BC28" s="109" t="b">
        <v>0</v>
      </c>
      <c r="BD28" s="109" t="b">
        <v>1</v>
      </c>
      <c r="BE28" s="109" t="b">
        <v>0</v>
      </c>
      <c r="BF28" s="109" t="b">
        <v>0</v>
      </c>
      <c r="BG28" s="109" t="b">
        <v>0</v>
      </c>
      <c r="BH28" s="109" t="b">
        <v>0</v>
      </c>
      <c r="BI28" s="109" t="b">
        <v>1</v>
      </c>
      <c r="BJ28" s="109" t="b">
        <v>1</v>
      </c>
      <c r="BK28" s="109" t="b">
        <v>1</v>
      </c>
      <c r="BL28" s="109" t="b">
        <v>1</v>
      </c>
      <c r="BM28" s="109" t="b">
        <v>1</v>
      </c>
      <c r="BN28" s="109" t="b">
        <v>1</v>
      </c>
      <c r="BO28" s="109" t="b">
        <v>0</v>
      </c>
      <c r="BP28" s="109" t="b">
        <v>1</v>
      </c>
      <c r="BQ28" s="109" t="b">
        <v>1</v>
      </c>
      <c r="BR28" s="109" t="b">
        <v>0</v>
      </c>
      <c r="BS28" s="109" t="b">
        <v>1</v>
      </c>
      <c r="BT28" s="109" t="b">
        <v>1</v>
      </c>
      <c r="BU28" s="109" t="b">
        <v>1</v>
      </c>
      <c r="BV28" s="109" t="b">
        <v>0</v>
      </c>
      <c r="BW28" s="109" t="b">
        <v>0</v>
      </c>
      <c r="BX28" s="109" t="b">
        <v>1</v>
      </c>
      <c r="BY28" s="109" t="b">
        <v>1</v>
      </c>
      <c r="BZ28" s="109" t="b">
        <v>1</v>
      </c>
      <c r="CA28" s="109" t="b">
        <v>0</v>
      </c>
      <c r="CB28" s="109" t="b">
        <v>0</v>
      </c>
      <c r="CC28" s="109" t="b">
        <v>1</v>
      </c>
      <c r="CD28" s="109" t="b">
        <v>1</v>
      </c>
      <c r="CE28" s="109" t="b">
        <v>0</v>
      </c>
      <c r="CF28" s="109" t="b">
        <v>1</v>
      </c>
      <c r="CG28" s="109" t="b">
        <v>0</v>
      </c>
      <c r="CH28" s="109" t="b">
        <v>1</v>
      </c>
      <c r="CI28" s="109" t="b">
        <v>1</v>
      </c>
      <c r="CJ28" s="109" t="b">
        <v>0</v>
      </c>
      <c r="CK28" s="109" t="b">
        <v>1</v>
      </c>
      <c r="CL28" s="109" t="b">
        <v>1</v>
      </c>
      <c r="CM28" s="109" t="b">
        <v>1</v>
      </c>
      <c r="CN28" s="109" t="b">
        <v>1</v>
      </c>
    </row>
    <row r="29">
      <c r="A29" s="123" t="s">
        <v>1024</v>
      </c>
      <c r="B29" s="123">
        <v>8.299083126E9</v>
      </c>
      <c r="C29" s="109" t="s">
        <v>1025</v>
      </c>
      <c r="D29" s="109" t="s">
        <v>83</v>
      </c>
      <c r="F29" s="109" t="b">
        <v>0</v>
      </c>
      <c r="G29" s="109" t="b">
        <v>0</v>
      </c>
      <c r="H29" s="109" t="b">
        <v>1</v>
      </c>
      <c r="I29" s="109" t="b">
        <v>0</v>
      </c>
      <c r="J29" s="109" t="b">
        <v>1</v>
      </c>
      <c r="K29" s="109" t="b">
        <v>0</v>
      </c>
      <c r="L29" s="109" t="b">
        <v>0</v>
      </c>
      <c r="M29" s="109" t="b">
        <v>1</v>
      </c>
      <c r="N29" s="109" t="b">
        <v>1</v>
      </c>
      <c r="O29" s="109" t="b">
        <v>0</v>
      </c>
      <c r="P29" s="109" t="b">
        <v>1</v>
      </c>
      <c r="Q29" s="109" t="b">
        <v>1</v>
      </c>
      <c r="R29" s="109" t="b">
        <v>1</v>
      </c>
      <c r="S29" s="109" t="b">
        <v>1</v>
      </c>
      <c r="T29" s="109" t="b">
        <v>1</v>
      </c>
      <c r="U29" s="109" t="b">
        <v>1</v>
      </c>
      <c r="V29" s="109" t="b">
        <v>1</v>
      </c>
      <c r="W29" s="109" t="b">
        <v>0</v>
      </c>
      <c r="X29" s="109" t="b">
        <v>0</v>
      </c>
      <c r="Y29" s="109" t="b">
        <v>0</v>
      </c>
      <c r="Z29" s="109" t="b">
        <v>1</v>
      </c>
      <c r="AA29" s="109" t="b">
        <v>0</v>
      </c>
      <c r="AB29" s="109" t="b">
        <v>0</v>
      </c>
      <c r="AC29" s="109" t="b">
        <v>0</v>
      </c>
      <c r="AD29" s="109" t="b">
        <v>0</v>
      </c>
      <c r="AE29" s="109" t="b">
        <v>0</v>
      </c>
      <c r="AF29" s="109" t="b">
        <v>1</v>
      </c>
      <c r="AG29" s="109" t="b">
        <v>1</v>
      </c>
      <c r="AH29" s="109" t="b">
        <v>0</v>
      </c>
      <c r="AI29" s="109" t="b">
        <v>0</v>
      </c>
      <c r="AJ29" s="109" t="b">
        <v>0</v>
      </c>
      <c r="AK29" s="109" t="b">
        <v>1</v>
      </c>
      <c r="AL29" s="109" t="b">
        <v>1</v>
      </c>
      <c r="AM29" s="109" t="b">
        <v>1</v>
      </c>
      <c r="AN29" s="109" t="b">
        <v>0</v>
      </c>
      <c r="AO29" s="109" t="b">
        <v>1</v>
      </c>
      <c r="AP29" s="109" t="b">
        <v>1</v>
      </c>
      <c r="AQ29" s="109" t="b">
        <v>1</v>
      </c>
      <c r="AR29" s="109" t="b">
        <v>1</v>
      </c>
      <c r="AS29" s="109" t="b">
        <v>1</v>
      </c>
      <c r="AT29" s="109" t="b">
        <v>1</v>
      </c>
      <c r="AU29" s="109" t="b">
        <v>1</v>
      </c>
      <c r="AV29" s="109" t="b">
        <v>1</v>
      </c>
      <c r="AW29" s="109" t="b">
        <v>1</v>
      </c>
      <c r="AX29" s="109" t="b">
        <v>1</v>
      </c>
      <c r="AY29" s="109" t="b">
        <v>1</v>
      </c>
      <c r="AZ29" s="109" t="b">
        <v>1</v>
      </c>
      <c r="BA29" s="109" t="b">
        <v>1</v>
      </c>
      <c r="BB29" s="109" t="b">
        <v>1</v>
      </c>
      <c r="BC29" s="109" t="b">
        <v>1</v>
      </c>
      <c r="BD29" s="109" t="b">
        <v>1</v>
      </c>
      <c r="BE29" s="109" t="b">
        <v>1</v>
      </c>
      <c r="BF29" s="109" t="b">
        <v>1</v>
      </c>
      <c r="BG29" s="109" t="b">
        <v>0</v>
      </c>
      <c r="BH29" s="109" t="b">
        <v>0</v>
      </c>
      <c r="BI29" s="109" t="b">
        <v>1</v>
      </c>
      <c r="BJ29" s="109" t="b">
        <v>1</v>
      </c>
      <c r="BK29" s="109" t="b">
        <v>1</v>
      </c>
      <c r="BL29" s="109" t="b">
        <v>1</v>
      </c>
      <c r="BM29" s="109" t="b">
        <v>1</v>
      </c>
      <c r="BN29" s="109" t="b">
        <v>1</v>
      </c>
      <c r="BO29" s="109" t="b">
        <v>1</v>
      </c>
      <c r="BP29" s="109" t="b">
        <v>1</v>
      </c>
      <c r="BQ29" s="109" t="b">
        <v>1</v>
      </c>
      <c r="BR29" s="109" t="b">
        <v>0</v>
      </c>
      <c r="BS29" s="109" t="b">
        <v>1</v>
      </c>
      <c r="BT29" s="109" t="b">
        <v>1</v>
      </c>
      <c r="BU29" s="109" t="b">
        <v>1</v>
      </c>
      <c r="BV29" s="109" t="b">
        <v>0</v>
      </c>
      <c r="BW29" s="109" t="b">
        <v>1</v>
      </c>
      <c r="BX29" s="109" t="b">
        <v>1</v>
      </c>
      <c r="BY29" s="109" t="b">
        <v>1</v>
      </c>
      <c r="BZ29" s="109" t="b">
        <v>1</v>
      </c>
      <c r="CA29" s="109" t="b">
        <v>0</v>
      </c>
      <c r="CB29" s="109" t="b">
        <v>1</v>
      </c>
      <c r="CC29" s="109" t="b">
        <v>1</v>
      </c>
      <c r="CD29" s="109" t="b">
        <v>1</v>
      </c>
      <c r="CE29" s="109" t="b">
        <v>1</v>
      </c>
      <c r="CF29" s="109" t="b">
        <v>0</v>
      </c>
      <c r="CG29" s="109" t="b">
        <v>1</v>
      </c>
      <c r="CH29" s="109" t="b">
        <v>1</v>
      </c>
      <c r="CI29" s="109" t="b">
        <v>1</v>
      </c>
      <c r="CJ29" s="109" t="b">
        <v>1</v>
      </c>
      <c r="CK29" s="109" t="b">
        <v>1</v>
      </c>
      <c r="CL29" s="109" t="b">
        <v>1</v>
      </c>
      <c r="CM29" s="109" t="b">
        <v>1</v>
      </c>
      <c r="CN29" s="109" t="b">
        <v>1</v>
      </c>
    </row>
    <row r="30">
      <c r="A30" s="123" t="s">
        <v>1026</v>
      </c>
      <c r="B30" s="123">
        <v>6.306713085E9</v>
      </c>
      <c r="C30" s="109" t="s">
        <v>1027</v>
      </c>
      <c r="D30" s="109" t="s">
        <v>83</v>
      </c>
      <c r="F30" s="109" t="b">
        <v>0</v>
      </c>
      <c r="G30" s="109" t="b">
        <v>0</v>
      </c>
      <c r="H30" s="109" t="b">
        <v>1</v>
      </c>
      <c r="I30" s="109" t="b">
        <v>1</v>
      </c>
      <c r="J30" s="109" t="b">
        <v>1</v>
      </c>
      <c r="K30" s="109" t="b">
        <v>1</v>
      </c>
      <c r="L30" s="109" t="b">
        <v>1</v>
      </c>
      <c r="M30" s="109" t="b">
        <v>1</v>
      </c>
      <c r="N30" s="109" t="b">
        <v>1</v>
      </c>
      <c r="O30" s="109" t="b">
        <v>1</v>
      </c>
      <c r="P30" s="109" t="b">
        <v>1</v>
      </c>
      <c r="Q30" s="109" t="b">
        <v>1</v>
      </c>
      <c r="R30" s="109" t="b">
        <v>1</v>
      </c>
      <c r="S30" s="109" t="b">
        <v>1</v>
      </c>
      <c r="T30" s="109" t="b">
        <v>1</v>
      </c>
      <c r="U30" s="109" t="b">
        <v>1</v>
      </c>
      <c r="V30" s="109" t="b">
        <v>1</v>
      </c>
      <c r="W30" s="109" t="b">
        <v>1</v>
      </c>
      <c r="X30" s="109" t="b">
        <v>1</v>
      </c>
      <c r="Y30" s="109" t="b">
        <v>1</v>
      </c>
      <c r="Z30" s="109" t="b">
        <v>1</v>
      </c>
      <c r="AA30" s="109" t="b">
        <v>0</v>
      </c>
      <c r="AB30" s="109" t="b">
        <v>1</v>
      </c>
      <c r="AC30" s="109" t="b">
        <v>1</v>
      </c>
      <c r="AD30" s="109" t="b">
        <v>1</v>
      </c>
      <c r="AE30" s="109" t="b">
        <v>1</v>
      </c>
      <c r="AF30" s="109" t="b">
        <v>1</v>
      </c>
      <c r="AG30" s="109" t="b">
        <v>1</v>
      </c>
      <c r="AH30" s="109" t="b">
        <v>1</v>
      </c>
      <c r="AI30" s="109" t="b">
        <v>1</v>
      </c>
      <c r="AJ30" s="109" t="b">
        <v>1</v>
      </c>
      <c r="AK30" s="109" t="b">
        <v>1</v>
      </c>
      <c r="AL30" s="109" t="b">
        <v>1</v>
      </c>
      <c r="AM30" s="109" t="b">
        <v>1</v>
      </c>
      <c r="AN30" s="109" t="b">
        <v>1</v>
      </c>
      <c r="AO30" s="109" t="b">
        <v>0</v>
      </c>
      <c r="AP30" s="109" t="b">
        <v>1</v>
      </c>
      <c r="AQ30" s="109" t="b">
        <v>0</v>
      </c>
      <c r="AR30" s="109" t="b">
        <v>1</v>
      </c>
      <c r="AS30" s="109" t="b">
        <v>0</v>
      </c>
      <c r="AT30" s="109" t="b">
        <v>0</v>
      </c>
      <c r="AU30" s="109" t="b">
        <v>0</v>
      </c>
      <c r="AV30" s="109" t="b">
        <v>0</v>
      </c>
      <c r="AW30" s="109" t="b">
        <v>1</v>
      </c>
      <c r="AX30" s="109" t="b">
        <v>1</v>
      </c>
      <c r="AY30" s="109" t="b">
        <v>0</v>
      </c>
      <c r="AZ30" s="109" t="b">
        <v>1</v>
      </c>
      <c r="BA30" s="109" t="b">
        <v>1</v>
      </c>
      <c r="BB30" s="109" t="b">
        <v>1</v>
      </c>
      <c r="BC30" s="109" t="b">
        <v>0</v>
      </c>
      <c r="BD30" s="109" t="b">
        <v>0</v>
      </c>
      <c r="BE30" s="109" t="b">
        <v>0</v>
      </c>
      <c r="BF30" s="109" t="b">
        <v>0</v>
      </c>
      <c r="BG30" s="109" t="b">
        <v>1</v>
      </c>
      <c r="BH30" s="109" t="b">
        <v>0</v>
      </c>
      <c r="BI30" s="109" t="b">
        <v>1</v>
      </c>
      <c r="BJ30" s="109" t="b">
        <v>1</v>
      </c>
      <c r="BK30" s="109" t="b">
        <v>1</v>
      </c>
      <c r="BL30" s="109" t="b">
        <v>1</v>
      </c>
      <c r="BM30" s="109" t="b">
        <v>1</v>
      </c>
      <c r="BN30" s="109" t="b">
        <v>1</v>
      </c>
      <c r="BO30" s="109" t="b">
        <v>0</v>
      </c>
      <c r="BP30" s="109" t="b">
        <v>1</v>
      </c>
      <c r="BQ30" s="109" t="b">
        <v>1</v>
      </c>
      <c r="BR30" s="109" t="b">
        <v>1</v>
      </c>
      <c r="BS30" s="109" t="b">
        <v>1</v>
      </c>
      <c r="BT30" s="109" t="b">
        <v>1</v>
      </c>
      <c r="BU30" s="109" t="b">
        <v>1</v>
      </c>
      <c r="BV30" s="109" t="b">
        <v>1</v>
      </c>
      <c r="BW30" s="109" t="b">
        <v>1</v>
      </c>
      <c r="BX30" s="109" t="b">
        <v>1</v>
      </c>
      <c r="BY30" s="109" t="b">
        <v>1</v>
      </c>
      <c r="BZ30" s="109" t="b">
        <v>1</v>
      </c>
      <c r="CA30" s="109" t="b">
        <v>0</v>
      </c>
      <c r="CB30" s="109" t="b">
        <v>0</v>
      </c>
      <c r="CC30" s="109" t="b">
        <v>1</v>
      </c>
      <c r="CD30" s="109" t="b">
        <v>0</v>
      </c>
      <c r="CE30" s="109" t="b">
        <v>1</v>
      </c>
      <c r="CF30" s="109" t="b">
        <v>1</v>
      </c>
      <c r="CG30" s="109" t="b">
        <v>1</v>
      </c>
      <c r="CH30" s="109" t="b">
        <v>1</v>
      </c>
      <c r="CI30" s="109" t="b">
        <v>1</v>
      </c>
      <c r="CJ30" s="109" t="b">
        <v>1</v>
      </c>
      <c r="CK30" s="109" t="b">
        <v>1</v>
      </c>
      <c r="CL30" s="109" t="b">
        <v>1</v>
      </c>
      <c r="CM30" s="109" t="b">
        <v>1</v>
      </c>
      <c r="CN30" s="109" t="b">
        <v>1</v>
      </c>
    </row>
    <row r="31">
      <c r="A31" s="123" t="s">
        <v>1028</v>
      </c>
      <c r="B31" s="123">
        <v>7.40964633E9</v>
      </c>
      <c r="C31" s="109" t="s">
        <v>1029</v>
      </c>
      <c r="D31" s="109" t="s">
        <v>83</v>
      </c>
      <c r="F31" s="109" t="b">
        <v>0</v>
      </c>
      <c r="G31" s="109" t="b">
        <v>0</v>
      </c>
      <c r="H31" s="109" t="b">
        <v>0</v>
      </c>
      <c r="I31" s="109" t="b">
        <v>0</v>
      </c>
      <c r="J31" s="109" t="b">
        <v>0</v>
      </c>
      <c r="K31" s="109" t="b">
        <v>0</v>
      </c>
      <c r="L31" s="109" t="b">
        <v>0</v>
      </c>
      <c r="M31" s="109" t="b">
        <v>0</v>
      </c>
      <c r="N31" s="109" t="b">
        <v>0</v>
      </c>
      <c r="O31" s="109" t="b">
        <v>0</v>
      </c>
      <c r="P31" s="109" t="b">
        <v>0</v>
      </c>
      <c r="Q31" s="109" t="b">
        <v>0</v>
      </c>
      <c r="R31" s="109" t="b">
        <v>0</v>
      </c>
      <c r="S31" s="109" t="b">
        <v>0</v>
      </c>
      <c r="T31" s="109" t="b">
        <v>0</v>
      </c>
      <c r="U31" s="109" t="b">
        <v>0</v>
      </c>
      <c r="V31" s="109" t="b">
        <v>0</v>
      </c>
      <c r="W31" s="109" t="b">
        <v>0</v>
      </c>
      <c r="X31" s="109" t="b">
        <v>0</v>
      </c>
      <c r="Y31" s="109" t="b">
        <v>0</v>
      </c>
      <c r="Z31" s="109" t="b">
        <v>0</v>
      </c>
      <c r="AA31" s="109" t="b">
        <v>0</v>
      </c>
      <c r="AB31" s="109" t="b">
        <v>0</v>
      </c>
      <c r="AC31" s="109" t="b">
        <v>0</v>
      </c>
      <c r="AD31" s="109" t="b">
        <v>0</v>
      </c>
      <c r="AE31" s="109" t="b">
        <v>0</v>
      </c>
      <c r="AF31" s="109" t="b">
        <v>0</v>
      </c>
      <c r="AG31" s="109" t="b">
        <v>1</v>
      </c>
      <c r="AH31" s="109" t="b">
        <v>0</v>
      </c>
      <c r="AI31" s="109" t="b">
        <v>1</v>
      </c>
      <c r="AJ31" s="109" t="b">
        <v>1</v>
      </c>
      <c r="AK31" s="109" t="b">
        <v>1</v>
      </c>
      <c r="AL31" s="109" t="b">
        <v>1</v>
      </c>
      <c r="AM31" s="109" t="b">
        <v>0</v>
      </c>
      <c r="AN31" s="109" t="b">
        <v>0</v>
      </c>
      <c r="AO31" s="109" t="b">
        <v>0</v>
      </c>
      <c r="AP31" s="109" t="b">
        <v>1</v>
      </c>
      <c r="AQ31" s="109" t="b">
        <v>1</v>
      </c>
      <c r="AR31" s="109" t="b">
        <v>1</v>
      </c>
      <c r="AS31" s="109" t="b">
        <v>1</v>
      </c>
      <c r="AT31" s="109" t="b">
        <v>1</v>
      </c>
      <c r="AU31" s="109" t="b">
        <v>1</v>
      </c>
      <c r="AV31" s="109" t="b">
        <v>1</v>
      </c>
      <c r="AW31" s="109" t="b">
        <v>1</v>
      </c>
      <c r="AX31" s="109" t="b">
        <v>1</v>
      </c>
      <c r="AY31" s="109" t="b">
        <v>1</v>
      </c>
      <c r="AZ31" s="109" t="b">
        <v>1</v>
      </c>
      <c r="BA31" s="109" t="b">
        <v>1</v>
      </c>
      <c r="BB31" s="109" t="b">
        <v>1</v>
      </c>
      <c r="BC31" s="109" t="b">
        <v>0</v>
      </c>
      <c r="BD31" s="109" t="b">
        <v>0</v>
      </c>
      <c r="BE31" s="109" t="b">
        <v>0</v>
      </c>
      <c r="BF31" s="109" t="b">
        <v>1</v>
      </c>
      <c r="BG31" s="109" t="b">
        <v>0</v>
      </c>
      <c r="BH31" s="109" t="b">
        <v>0</v>
      </c>
      <c r="BI31" s="109" t="b">
        <v>1</v>
      </c>
      <c r="BJ31" s="109" t="b">
        <v>1</v>
      </c>
      <c r="BK31" s="109" t="b">
        <v>1</v>
      </c>
      <c r="BL31" s="109" t="b">
        <v>1</v>
      </c>
      <c r="BM31" s="109" t="b">
        <v>1</v>
      </c>
      <c r="BN31" s="109" t="b">
        <v>1</v>
      </c>
      <c r="BO31" s="109" t="b">
        <v>1</v>
      </c>
      <c r="BP31" s="109" t="b">
        <v>1</v>
      </c>
      <c r="BQ31" s="109" t="b">
        <v>1</v>
      </c>
      <c r="BR31" s="109" t="b">
        <v>1</v>
      </c>
      <c r="BS31" s="109" t="b">
        <v>0</v>
      </c>
      <c r="BT31" s="109" t="b">
        <v>0</v>
      </c>
      <c r="BU31" s="109" t="b">
        <v>1</v>
      </c>
      <c r="BV31" s="109" t="b">
        <v>0</v>
      </c>
      <c r="BW31" s="109" t="b">
        <v>0</v>
      </c>
      <c r="BX31" s="109" t="b">
        <v>1</v>
      </c>
      <c r="BY31" s="109" t="b">
        <v>0</v>
      </c>
      <c r="BZ31" s="109" t="b">
        <v>0</v>
      </c>
      <c r="CA31" s="109" t="b">
        <v>0</v>
      </c>
      <c r="CB31" s="109" t="b">
        <v>0</v>
      </c>
      <c r="CC31" s="109" t="b">
        <v>0</v>
      </c>
      <c r="CD31" s="109" t="b">
        <v>0</v>
      </c>
      <c r="CE31" s="109" t="b">
        <v>0</v>
      </c>
      <c r="CF31" s="109" t="b">
        <v>0</v>
      </c>
      <c r="CG31" s="109" t="b">
        <v>0</v>
      </c>
      <c r="CH31" s="109" t="b">
        <v>0</v>
      </c>
      <c r="CI31" s="109" t="b">
        <v>0</v>
      </c>
      <c r="CJ31" s="109" t="b">
        <v>0</v>
      </c>
      <c r="CK31" s="109" t="b">
        <v>1</v>
      </c>
      <c r="CL31" s="109" t="b">
        <v>0</v>
      </c>
      <c r="CM31" s="109" t="b">
        <v>0</v>
      </c>
      <c r="CN31" s="109" t="b">
        <v>0</v>
      </c>
    </row>
    <row r="32">
      <c r="A32" s="123" t="s">
        <v>1030</v>
      </c>
      <c r="B32" s="123">
        <v>8.081526758E9</v>
      </c>
      <c r="C32" s="109" t="s">
        <v>1031</v>
      </c>
      <c r="D32" s="109" t="s">
        <v>83</v>
      </c>
      <c r="F32" s="109" t="b">
        <v>0</v>
      </c>
      <c r="G32" s="109" t="b">
        <v>0</v>
      </c>
      <c r="H32" s="109" t="b">
        <v>0</v>
      </c>
      <c r="I32" s="109" t="b">
        <v>0</v>
      </c>
      <c r="J32" s="109" t="b">
        <v>0</v>
      </c>
      <c r="K32" s="109" t="b">
        <v>0</v>
      </c>
      <c r="L32" s="109" t="b">
        <v>0</v>
      </c>
      <c r="M32" s="109" t="b">
        <v>1</v>
      </c>
      <c r="N32" s="109" t="b">
        <v>0</v>
      </c>
      <c r="O32" s="109" t="b">
        <v>0</v>
      </c>
      <c r="P32" s="109" t="b">
        <v>0</v>
      </c>
      <c r="Q32" s="109" t="b">
        <v>1</v>
      </c>
      <c r="R32" s="109" t="b">
        <v>1</v>
      </c>
      <c r="S32" s="109" t="b">
        <v>1</v>
      </c>
      <c r="T32" s="109" t="b">
        <v>1</v>
      </c>
      <c r="U32" s="109" t="b">
        <v>1</v>
      </c>
      <c r="V32" s="109" t="b">
        <v>1</v>
      </c>
      <c r="W32" s="109" t="b">
        <v>0</v>
      </c>
      <c r="X32" s="109" t="b">
        <v>1</v>
      </c>
      <c r="Y32" s="109" t="b">
        <v>0</v>
      </c>
      <c r="Z32" s="109" t="b">
        <v>0</v>
      </c>
      <c r="AA32" s="109" t="b">
        <v>1</v>
      </c>
      <c r="AB32" s="109" t="b">
        <v>0</v>
      </c>
      <c r="AC32" s="109" t="b">
        <v>1</v>
      </c>
      <c r="AD32" s="109" t="b">
        <v>1</v>
      </c>
      <c r="AE32" s="109" t="b">
        <v>1</v>
      </c>
      <c r="AF32" s="109" t="b">
        <v>1</v>
      </c>
      <c r="AG32" s="109" t="b">
        <v>1</v>
      </c>
      <c r="AH32" s="109" t="b">
        <v>1</v>
      </c>
      <c r="AI32" s="109" t="b">
        <v>0</v>
      </c>
      <c r="AJ32" s="109" t="b">
        <v>1</v>
      </c>
      <c r="AK32" s="109" t="b">
        <v>1</v>
      </c>
      <c r="AL32" s="109" t="b">
        <v>1</v>
      </c>
      <c r="AM32" s="109" t="b">
        <v>0</v>
      </c>
      <c r="AN32" s="109" t="b">
        <v>0</v>
      </c>
      <c r="AO32" s="109" t="b">
        <v>0</v>
      </c>
      <c r="AP32" s="109" t="b">
        <v>1</v>
      </c>
      <c r="AQ32" s="109" t="b">
        <v>0</v>
      </c>
      <c r="AR32" s="109" t="b">
        <v>0</v>
      </c>
      <c r="AS32" s="109" t="b">
        <v>0</v>
      </c>
      <c r="AT32" s="109" t="b">
        <v>0</v>
      </c>
      <c r="AU32" s="109" t="b">
        <v>0</v>
      </c>
      <c r="AV32" s="109" t="b">
        <v>0</v>
      </c>
      <c r="AW32" s="109" t="b">
        <v>0</v>
      </c>
      <c r="AX32" s="109" t="b">
        <v>1</v>
      </c>
      <c r="AY32" s="109" t="b">
        <v>1</v>
      </c>
      <c r="AZ32" s="109" t="b">
        <v>1</v>
      </c>
      <c r="BA32" s="109" t="b">
        <v>1</v>
      </c>
      <c r="BB32" s="109" t="b">
        <v>1</v>
      </c>
      <c r="BC32" s="109" t="b">
        <v>0</v>
      </c>
      <c r="BD32" s="109" t="b">
        <v>1</v>
      </c>
      <c r="BE32" s="109" t="b">
        <v>1</v>
      </c>
      <c r="BF32" s="109" t="b">
        <v>1</v>
      </c>
      <c r="BG32" s="109" t="b">
        <v>0</v>
      </c>
      <c r="BH32" s="109" t="b">
        <v>0</v>
      </c>
      <c r="BI32" s="109" t="b">
        <v>1</v>
      </c>
      <c r="BJ32" s="109" t="b">
        <v>1</v>
      </c>
      <c r="BK32" s="109" t="b">
        <v>1</v>
      </c>
      <c r="BL32" s="109" t="b">
        <v>1</v>
      </c>
      <c r="BM32" s="109" t="b">
        <v>1</v>
      </c>
      <c r="BN32" s="109" t="b">
        <v>1</v>
      </c>
      <c r="BO32" s="109" t="b">
        <v>1</v>
      </c>
      <c r="BP32" s="109" t="b">
        <v>1</v>
      </c>
      <c r="BQ32" s="109" t="b">
        <v>0</v>
      </c>
      <c r="BR32" s="109" t="b">
        <v>1</v>
      </c>
      <c r="BS32" s="109" t="b">
        <v>0</v>
      </c>
      <c r="BT32" s="109" t="b">
        <v>0</v>
      </c>
      <c r="BU32" s="109" t="b">
        <v>1</v>
      </c>
      <c r="BV32" s="109" t="b">
        <v>1</v>
      </c>
      <c r="BW32" s="109" t="b">
        <v>1</v>
      </c>
      <c r="BX32" s="109" t="b">
        <v>1</v>
      </c>
      <c r="BY32" s="109" t="b">
        <v>1</v>
      </c>
      <c r="BZ32" s="109" t="b">
        <v>1</v>
      </c>
      <c r="CA32" s="109" t="b">
        <v>0</v>
      </c>
      <c r="CB32" s="109" t="b">
        <v>1</v>
      </c>
      <c r="CC32" s="109" t="b">
        <v>1</v>
      </c>
      <c r="CD32" s="109" t="b">
        <v>1</v>
      </c>
      <c r="CE32" s="109" t="b">
        <v>0</v>
      </c>
      <c r="CF32" s="109" t="b">
        <v>0</v>
      </c>
      <c r="CG32" s="109" t="b">
        <v>0</v>
      </c>
      <c r="CH32" s="109" t="b">
        <v>1</v>
      </c>
      <c r="CI32" s="109" t="b">
        <v>1</v>
      </c>
      <c r="CJ32" s="109" t="b">
        <v>1</v>
      </c>
      <c r="CK32" s="109" t="b">
        <v>0</v>
      </c>
      <c r="CL32" s="109" t="b">
        <v>1</v>
      </c>
      <c r="CM32" s="109" t="b">
        <v>1</v>
      </c>
      <c r="CN32" s="109" t="b">
        <v>1</v>
      </c>
    </row>
    <row r="33">
      <c r="A33" s="123" t="s">
        <v>1032</v>
      </c>
      <c r="B33" s="123">
        <v>8.127122102E9</v>
      </c>
      <c r="C33" s="109" t="s">
        <v>1033</v>
      </c>
      <c r="D33" s="109" t="s">
        <v>83</v>
      </c>
      <c r="F33" s="109" t="b">
        <v>0</v>
      </c>
      <c r="G33" s="109" t="b">
        <v>0</v>
      </c>
      <c r="H33" s="109" t="b">
        <v>0</v>
      </c>
      <c r="I33" s="109" t="b">
        <v>0</v>
      </c>
      <c r="J33" s="109" t="b">
        <v>0</v>
      </c>
      <c r="K33" s="109" t="b">
        <v>0</v>
      </c>
      <c r="L33" s="109" t="b">
        <v>0</v>
      </c>
      <c r="M33" s="109" t="b">
        <v>1</v>
      </c>
      <c r="N33" s="109" t="b">
        <v>1</v>
      </c>
      <c r="O33" s="109" t="b">
        <v>0</v>
      </c>
      <c r="P33" s="109" t="b">
        <v>1</v>
      </c>
      <c r="Q33" s="109" t="b">
        <v>1</v>
      </c>
      <c r="R33" s="109" t="b">
        <v>1</v>
      </c>
      <c r="S33" s="109" t="b">
        <v>1</v>
      </c>
      <c r="T33" s="109" t="b">
        <v>1</v>
      </c>
      <c r="U33" s="109" t="b">
        <v>1</v>
      </c>
      <c r="V33" s="109" t="b">
        <v>1</v>
      </c>
      <c r="W33" s="109" t="b">
        <v>1</v>
      </c>
      <c r="X33" s="109" t="b">
        <v>1</v>
      </c>
      <c r="Y33" s="109" t="b">
        <v>1</v>
      </c>
      <c r="Z33" s="109" t="b">
        <v>0</v>
      </c>
      <c r="AA33" s="109" t="b">
        <v>1</v>
      </c>
      <c r="AB33" s="109" t="b">
        <v>1</v>
      </c>
      <c r="AC33" s="109" t="b">
        <v>1</v>
      </c>
      <c r="AD33" s="109" t="b">
        <v>1</v>
      </c>
      <c r="AE33" s="109" t="b">
        <v>0</v>
      </c>
      <c r="AF33" s="109" t="b">
        <v>0</v>
      </c>
      <c r="AG33" s="109" t="b">
        <v>1</v>
      </c>
      <c r="AH33" s="109" t="b">
        <v>0</v>
      </c>
      <c r="AI33" s="109" t="b">
        <v>0</v>
      </c>
      <c r="AJ33" s="109" t="b">
        <v>1</v>
      </c>
      <c r="AK33" s="109" t="b">
        <v>1</v>
      </c>
      <c r="AL33" s="109" t="b">
        <v>1</v>
      </c>
      <c r="AM33" s="109" t="b">
        <v>0</v>
      </c>
      <c r="AN33" s="109" t="b">
        <v>0</v>
      </c>
      <c r="AO33" s="109" t="b">
        <v>0</v>
      </c>
      <c r="AP33" s="109" t="b">
        <v>1</v>
      </c>
      <c r="AQ33" s="109" t="b">
        <v>0</v>
      </c>
      <c r="AR33" s="109" t="b">
        <v>0</v>
      </c>
      <c r="AS33" s="109" t="b">
        <v>1</v>
      </c>
      <c r="AT33" s="109" t="b">
        <v>1</v>
      </c>
      <c r="AU33" s="109" t="b">
        <v>1</v>
      </c>
      <c r="AV33" s="109" t="b">
        <v>1</v>
      </c>
      <c r="AW33" s="109" t="b">
        <v>1</v>
      </c>
      <c r="AX33" s="109" t="b">
        <v>1</v>
      </c>
      <c r="AY33" s="109" t="b">
        <v>1</v>
      </c>
      <c r="AZ33" s="109" t="b">
        <v>1</v>
      </c>
      <c r="BA33" s="109" t="b">
        <v>1</v>
      </c>
      <c r="BB33" s="109" t="b">
        <v>1</v>
      </c>
      <c r="BC33" s="109" t="b">
        <v>1</v>
      </c>
      <c r="BD33" s="109" t="b">
        <v>1</v>
      </c>
      <c r="BE33" s="109" t="b">
        <v>0</v>
      </c>
      <c r="BF33" s="109" t="b">
        <v>1</v>
      </c>
      <c r="BG33" s="109" t="b">
        <v>1</v>
      </c>
      <c r="BH33" s="109" t="b">
        <v>0</v>
      </c>
      <c r="BI33" s="109" t="b">
        <v>1</v>
      </c>
      <c r="BJ33" s="109" t="b">
        <v>1</v>
      </c>
      <c r="BK33" s="109" t="b">
        <v>1</v>
      </c>
      <c r="BL33" s="109" t="b">
        <v>1</v>
      </c>
      <c r="BM33" s="109" t="b">
        <v>1</v>
      </c>
      <c r="BN33" s="109" t="b">
        <v>1</v>
      </c>
      <c r="BO33" s="109" t="b">
        <v>1</v>
      </c>
      <c r="BP33" s="109" t="b">
        <v>1</v>
      </c>
      <c r="BQ33" s="109" t="b">
        <v>0</v>
      </c>
      <c r="BR33" s="109" t="b">
        <v>0</v>
      </c>
      <c r="BS33" s="109" t="b">
        <v>1</v>
      </c>
      <c r="BT33" s="109" t="b">
        <v>1</v>
      </c>
      <c r="BU33" s="109" t="b">
        <v>1</v>
      </c>
      <c r="BV33" s="109" t="b">
        <v>1</v>
      </c>
      <c r="BW33" s="109" t="b">
        <v>1</v>
      </c>
      <c r="BX33" s="109" t="b">
        <v>1</v>
      </c>
      <c r="BY33" s="109" t="b">
        <v>1</v>
      </c>
      <c r="BZ33" s="109" t="b">
        <v>1</v>
      </c>
      <c r="CA33" s="109" t="b">
        <v>1</v>
      </c>
      <c r="CB33" s="109" t="b">
        <v>1</v>
      </c>
      <c r="CC33" s="109" t="b">
        <v>1</v>
      </c>
      <c r="CD33" s="109" t="b">
        <v>1</v>
      </c>
      <c r="CE33" s="109" t="b">
        <v>1</v>
      </c>
      <c r="CF33" s="109" t="b">
        <v>1</v>
      </c>
      <c r="CG33" s="109" t="b">
        <v>1</v>
      </c>
      <c r="CH33" s="109" t="b">
        <v>1</v>
      </c>
      <c r="CI33" s="109" t="b">
        <v>1</v>
      </c>
      <c r="CJ33" s="109" t="b">
        <v>1</v>
      </c>
      <c r="CK33" s="109" t="b">
        <v>0</v>
      </c>
      <c r="CL33" s="109" t="b">
        <v>0</v>
      </c>
      <c r="CM33" s="109" t="b">
        <v>0</v>
      </c>
      <c r="CN33" s="109" t="b">
        <v>1</v>
      </c>
    </row>
    <row r="34">
      <c r="A34" s="123" t="s">
        <v>1034</v>
      </c>
      <c r="B34" s="123">
        <v>6.307790849E9</v>
      </c>
      <c r="C34" s="109" t="s">
        <v>1035</v>
      </c>
      <c r="D34" s="109" t="s">
        <v>83</v>
      </c>
      <c r="F34" s="109" t="b">
        <v>0</v>
      </c>
      <c r="G34" s="109" t="b">
        <v>0</v>
      </c>
      <c r="H34" s="109" t="b">
        <v>1</v>
      </c>
      <c r="I34" s="109" t="b">
        <v>1</v>
      </c>
      <c r="J34" s="109" t="b">
        <v>1</v>
      </c>
      <c r="K34" s="109" t="b">
        <v>1</v>
      </c>
      <c r="L34" s="109" t="b">
        <v>1</v>
      </c>
      <c r="M34" s="109" t="b">
        <v>1</v>
      </c>
      <c r="N34" s="109" t="b">
        <v>1</v>
      </c>
      <c r="O34" s="109" t="b">
        <v>1</v>
      </c>
      <c r="P34" s="109" t="b">
        <v>1</v>
      </c>
      <c r="Q34" s="109" t="b">
        <v>1</v>
      </c>
      <c r="R34" s="109" t="b">
        <v>1</v>
      </c>
      <c r="S34" s="109" t="b">
        <v>1</v>
      </c>
      <c r="T34" s="109" t="b">
        <v>1</v>
      </c>
      <c r="U34" s="109" t="b">
        <v>1</v>
      </c>
      <c r="V34" s="109" t="b">
        <v>1</v>
      </c>
      <c r="W34" s="109" t="b">
        <v>1</v>
      </c>
      <c r="X34" s="109" t="b">
        <v>1</v>
      </c>
      <c r="Y34" s="109" t="b">
        <v>1</v>
      </c>
      <c r="Z34" s="109" t="b">
        <v>1</v>
      </c>
      <c r="AA34" s="109" t="b">
        <v>1</v>
      </c>
      <c r="AB34" s="109" t="b">
        <v>1</v>
      </c>
      <c r="AC34" s="109" t="b">
        <v>1</v>
      </c>
      <c r="AD34" s="109" t="b">
        <v>1</v>
      </c>
      <c r="AE34" s="109" t="b">
        <v>1</v>
      </c>
      <c r="AF34" s="109" t="b">
        <v>1</v>
      </c>
      <c r="AG34" s="109" t="b">
        <v>1</v>
      </c>
      <c r="AH34" s="109" t="b">
        <v>1</v>
      </c>
      <c r="AI34" s="109" t="b">
        <v>1</v>
      </c>
      <c r="AJ34" s="109" t="b">
        <v>1</v>
      </c>
      <c r="AK34" s="109" t="b">
        <v>1</v>
      </c>
      <c r="AL34" s="109" t="b">
        <v>1</v>
      </c>
      <c r="AM34" s="109" t="b">
        <v>1</v>
      </c>
      <c r="AN34" s="109" t="b">
        <v>1</v>
      </c>
      <c r="AO34" s="109" t="b">
        <v>1</v>
      </c>
      <c r="AP34" s="109" t="b">
        <v>1</v>
      </c>
      <c r="AQ34" s="109" t="b">
        <v>1</v>
      </c>
      <c r="AR34" s="109" t="b">
        <v>1</v>
      </c>
      <c r="AS34" s="109" t="b">
        <v>1</v>
      </c>
      <c r="AT34" s="109" t="b">
        <v>1</v>
      </c>
      <c r="AU34" s="109" t="b">
        <v>1</v>
      </c>
      <c r="AV34" s="109" t="b">
        <v>0</v>
      </c>
      <c r="AW34" s="109" t="b">
        <v>1</v>
      </c>
      <c r="AX34" s="109" t="b">
        <v>1</v>
      </c>
      <c r="AY34" s="109" t="b">
        <v>1</v>
      </c>
      <c r="AZ34" s="109" t="b">
        <v>1</v>
      </c>
      <c r="BA34" s="109" t="b">
        <v>1</v>
      </c>
      <c r="BB34" s="109" t="b">
        <v>1</v>
      </c>
      <c r="BC34" s="109" t="b">
        <v>1</v>
      </c>
      <c r="BD34" s="109" t="b">
        <v>1</v>
      </c>
      <c r="BE34" s="109" t="b">
        <v>1</v>
      </c>
      <c r="BF34" s="109" t="b">
        <v>1</v>
      </c>
      <c r="BG34" s="109" t="b">
        <v>1</v>
      </c>
      <c r="BH34" s="109" t="b">
        <v>1</v>
      </c>
      <c r="BI34" s="109" t="b">
        <v>1</v>
      </c>
      <c r="BJ34" s="109" t="b">
        <v>1</v>
      </c>
      <c r="BK34" s="109" t="b">
        <v>1</v>
      </c>
      <c r="BL34" s="109" t="b">
        <v>1</v>
      </c>
      <c r="BM34" s="109" t="b">
        <v>1</v>
      </c>
      <c r="BN34" s="109" t="b">
        <v>1</v>
      </c>
      <c r="BO34" s="109" t="b">
        <v>1</v>
      </c>
      <c r="BP34" s="109" t="b">
        <v>1</v>
      </c>
      <c r="BQ34" s="109" t="b">
        <v>1</v>
      </c>
      <c r="BR34" s="109" t="b">
        <v>1</v>
      </c>
      <c r="BS34" s="109" t="b">
        <v>1</v>
      </c>
      <c r="BT34" s="109" t="b">
        <v>1</v>
      </c>
      <c r="BU34" s="109" t="b">
        <v>1</v>
      </c>
      <c r="BV34" s="109" t="b">
        <v>1</v>
      </c>
      <c r="BW34" s="109" t="b">
        <v>1</v>
      </c>
      <c r="BX34" s="109" t="b">
        <v>1</v>
      </c>
      <c r="BY34" s="109" t="b">
        <v>1</v>
      </c>
      <c r="BZ34" s="109" t="b">
        <v>1</v>
      </c>
      <c r="CA34" s="109" t="b">
        <v>1</v>
      </c>
      <c r="CB34" s="109" t="b">
        <v>1</v>
      </c>
      <c r="CC34" s="109" t="b">
        <v>1</v>
      </c>
      <c r="CD34" s="109" t="b">
        <v>1</v>
      </c>
      <c r="CE34" s="109" t="b">
        <v>0</v>
      </c>
      <c r="CF34" s="109" t="b">
        <v>0</v>
      </c>
      <c r="CG34" s="109" t="b">
        <v>0</v>
      </c>
      <c r="CH34" s="109" t="b">
        <v>0</v>
      </c>
      <c r="CI34" s="109" t="b">
        <v>0</v>
      </c>
      <c r="CJ34" s="109" t="b">
        <v>0</v>
      </c>
      <c r="CK34" s="109" t="b">
        <v>0</v>
      </c>
      <c r="CL34" s="109" t="b">
        <v>0</v>
      </c>
      <c r="CM34" s="109" t="b">
        <v>0</v>
      </c>
      <c r="CN34" s="109" t="b">
        <v>0</v>
      </c>
    </row>
    <row r="35">
      <c r="A35" s="123" t="s">
        <v>1036</v>
      </c>
      <c r="B35" s="123">
        <v>8.429871059E9</v>
      </c>
      <c r="C35" s="109" t="s">
        <v>1037</v>
      </c>
      <c r="D35" s="109" t="s">
        <v>83</v>
      </c>
      <c r="F35" s="109" t="b">
        <v>0</v>
      </c>
      <c r="G35" s="109" t="b">
        <v>0</v>
      </c>
      <c r="H35" s="109" t="b">
        <v>1</v>
      </c>
      <c r="I35" s="109" t="b">
        <v>1</v>
      </c>
      <c r="J35" s="109" t="b">
        <v>1</v>
      </c>
      <c r="K35" s="109" t="b">
        <v>1</v>
      </c>
      <c r="L35" s="109" t="b">
        <v>1</v>
      </c>
      <c r="M35" s="109" t="b">
        <v>1</v>
      </c>
      <c r="N35" s="109" t="b">
        <v>0</v>
      </c>
      <c r="O35" s="109" t="b">
        <v>1</v>
      </c>
      <c r="P35" s="109" t="b">
        <v>1</v>
      </c>
      <c r="Q35" s="109" t="b">
        <v>1</v>
      </c>
      <c r="R35" s="109" t="b">
        <v>1</v>
      </c>
      <c r="S35" s="109" t="b">
        <v>0</v>
      </c>
      <c r="T35" s="109" t="b">
        <v>1</v>
      </c>
      <c r="U35" s="109" t="b">
        <v>1</v>
      </c>
      <c r="V35" s="109" t="b">
        <v>1</v>
      </c>
      <c r="W35" s="109" t="b">
        <v>0</v>
      </c>
      <c r="X35" s="109" t="b">
        <v>1</v>
      </c>
      <c r="Y35" s="109" t="b">
        <v>1</v>
      </c>
      <c r="Z35" s="109" t="b">
        <v>0</v>
      </c>
      <c r="AA35" s="109" t="b">
        <v>0</v>
      </c>
      <c r="AB35" s="109" t="b">
        <v>1</v>
      </c>
      <c r="AC35" s="109" t="b">
        <v>1</v>
      </c>
      <c r="AD35" s="109" t="b">
        <v>1</v>
      </c>
      <c r="AE35" s="109" t="b">
        <v>1</v>
      </c>
      <c r="AF35" s="109" t="b">
        <v>1</v>
      </c>
      <c r="AG35" s="109" t="b">
        <v>1</v>
      </c>
      <c r="AH35" s="109" t="b">
        <v>0</v>
      </c>
      <c r="AI35" s="109" t="b">
        <v>0</v>
      </c>
      <c r="AJ35" s="109" t="b">
        <v>1</v>
      </c>
      <c r="AK35" s="109" t="b">
        <v>1</v>
      </c>
      <c r="AL35" s="109" t="b">
        <v>1</v>
      </c>
      <c r="AM35" s="109" t="b">
        <v>1</v>
      </c>
      <c r="AN35" s="109" t="b">
        <v>1</v>
      </c>
      <c r="AO35" s="109" t="b">
        <v>0</v>
      </c>
      <c r="AP35" s="109" t="b">
        <v>1</v>
      </c>
      <c r="AQ35" s="109" t="b">
        <v>0</v>
      </c>
      <c r="AR35" s="109" t="b">
        <v>1</v>
      </c>
      <c r="AS35" s="109" t="b">
        <v>1</v>
      </c>
      <c r="AT35" s="109" t="b">
        <v>1</v>
      </c>
      <c r="AU35" s="109" t="b">
        <v>1</v>
      </c>
      <c r="AV35" s="109" t="b">
        <v>0</v>
      </c>
      <c r="AW35" s="109" t="b">
        <v>0</v>
      </c>
      <c r="AX35" s="109" t="b">
        <v>1</v>
      </c>
      <c r="AY35" s="109" t="b">
        <v>0</v>
      </c>
      <c r="AZ35" s="109" t="b">
        <v>1</v>
      </c>
      <c r="BA35" s="109" t="b">
        <v>1</v>
      </c>
      <c r="BB35" s="109" t="b">
        <v>1</v>
      </c>
      <c r="BC35" s="109" t="b">
        <v>1</v>
      </c>
      <c r="BD35" s="109" t="b">
        <v>1</v>
      </c>
      <c r="BE35" s="109" t="b">
        <v>1</v>
      </c>
      <c r="BF35" s="109" t="b">
        <v>1</v>
      </c>
      <c r="BG35" s="109" t="b">
        <v>1</v>
      </c>
      <c r="BH35" s="109" t="b">
        <v>1</v>
      </c>
      <c r="BI35" s="109" t="b">
        <v>1</v>
      </c>
      <c r="BJ35" s="109" t="b">
        <v>1</v>
      </c>
      <c r="BK35" s="109" t="b">
        <v>1</v>
      </c>
      <c r="BL35" s="109" t="b">
        <v>1</v>
      </c>
      <c r="BM35" s="109" t="b">
        <v>1</v>
      </c>
      <c r="BN35" s="109" t="b">
        <v>1</v>
      </c>
      <c r="BO35" s="109" t="b">
        <v>0</v>
      </c>
      <c r="BP35" s="109" t="b">
        <v>1</v>
      </c>
      <c r="BQ35" s="109" t="b">
        <v>0</v>
      </c>
      <c r="BR35" s="109" t="b">
        <v>1</v>
      </c>
      <c r="BS35" s="109" t="b">
        <v>1</v>
      </c>
      <c r="BT35" s="109" t="b">
        <v>0</v>
      </c>
      <c r="BU35" s="109" t="b">
        <v>1</v>
      </c>
      <c r="BV35" s="109" t="b">
        <v>1</v>
      </c>
      <c r="BW35" s="109" t="b">
        <v>0</v>
      </c>
      <c r="BX35" s="109" t="b">
        <v>1</v>
      </c>
      <c r="BY35" s="109" t="b">
        <v>1</v>
      </c>
      <c r="BZ35" s="109" t="b">
        <v>0</v>
      </c>
      <c r="CA35" s="109" t="b">
        <v>1</v>
      </c>
      <c r="CB35" s="109" t="b">
        <v>1</v>
      </c>
      <c r="CC35" s="109" t="b">
        <v>1</v>
      </c>
      <c r="CD35" s="109" t="b">
        <v>1</v>
      </c>
      <c r="CE35" s="109" t="b">
        <v>1</v>
      </c>
      <c r="CF35" s="109" t="b">
        <v>1</v>
      </c>
      <c r="CG35" s="109" t="b">
        <v>1</v>
      </c>
      <c r="CH35" s="109" t="b">
        <v>1</v>
      </c>
      <c r="CI35" s="109" t="b">
        <v>0</v>
      </c>
      <c r="CJ35" s="109" t="b">
        <v>1</v>
      </c>
      <c r="CK35" s="109" t="b">
        <v>1</v>
      </c>
      <c r="CL35" s="109" t="b">
        <v>1</v>
      </c>
      <c r="CM35" s="109" t="b">
        <v>1</v>
      </c>
      <c r="CN35" s="109" t="b">
        <v>1</v>
      </c>
    </row>
    <row r="36">
      <c r="A36" s="111" t="s">
        <v>1038</v>
      </c>
      <c r="B36" s="111">
        <v>6.39129335E9</v>
      </c>
      <c r="C36" s="111" t="s">
        <v>1039</v>
      </c>
      <c r="D36" s="111" t="s">
        <v>83</v>
      </c>
      <c r="E36" s="112"/>
      <c r="F36" s="111" t="b">
        <v>0</v>
      </c>
      <c r="G36" s="111" t="b">
        <v>0</v>
      </c>
      <c r="H36" s="111" t="b">
        <v>1</v>
      </c>
      <c r="I36" s="111" t="b">
        <v>1</v>
      </c>
      <c r="J36" s="111" t="b">
        <v>1</v>
      </c>
      <c r="K36" s="111" t="b">
        <v>1</v>
      </c>
      <c r="L36" s="111" t="b">
        <v>1</v>
      </c>
      <c r="M36" s="111" t="b">
        <v>1</v>
      </c>
      <c r="N36" s="111" t="b">
        <v>0</v>
      </c>
      <c r="O36" s="111" t="b">
        <v>1</v>
      </c>
      <c r="P36" s="111" t="b">
        <v>1</v>
      </c>
      <c r="Q36" s="111" t="b">
        <v>1</v>
      </c>
      <c r="R36" s="111" t="b">
        <v>1</v>
      </c>
      <c r="S36" s="111" t="b">
        <v>0</v>
      </c>
      <c r="T36" s="111" t="b">
        <v>1</v>
      </c>
      <c r="U36" s="111" t="b">
        <v>1</v>
      </c>
      <c r="V36" s="111" t="b">
        <v>1</v>
      </c>
      <c r="W36" s="111" t="b">
        <v>1</v>
      </c>
      <c r="X36" s="111" t="b">
        <v>1</v>
      </c>
      <c r="Y36" s="111" t="b">
        <v>1</v>
      </c>
      <c r="Z36" s="111" t="b">
        <v>1</v>
      </c>
      <c r="AA36" s="111" t="b">
        <v>0</v>
      </c>
      <c r="AB36" s="111" t="b">
        <v>1</v>
      </c>
      <c r="AC36" s="111" t="b">
        <v>1</v>
      </c>
      <c r="AD36" s="111" t="b">
        <v>1</v>
      </c>
      <c r="AE36" s="111" t="b">
        <v>1</v>
      </c>
      <c r="AF36" s="111" t="b">
        <v>1</v>
      </c>
      <c r="AG36" s="111" t="b">
        <v>1</v>
      </c>
      <c r="AH36" s="111" t="b">
        <v>1</v>
      </c>
      <c r="AI36" s="111" t="b">
        <v>1</v>
      </c>
      <c r="AJ36" s="111" t="b">
        <v>1</v>
      </c>
      <c r="AK36" s="111" t="b">
        <v>1</v>
      </c>
      <c r="AL36" s="111" t="b">
        <v>1</v>
      </c>
      <c r="AM36" s="111" t="b">
        <v>1</v>
      </c>
      <c r="AN36" s="111" t="b">
        <v>0</v>
      </c>
      <c r="AO36" s="111" t="b">
        <v>1</v>
      </c>
      <c r="AP36" s="111" t="b">
        <v>1</v>
      </c>
      <c r="AQ36" s="111" t="b">
        <v>0</v>
      </c>
      <c r="AR36" s="111" t="b">
        <v>1</v>
      </c>
      <c r="AS36" s="111" t="b">
        <v>1</v>
      </c>
      <c r="AT36" s="111" t="b">
        <v>1</v>
      </c>
      <c r="AU36" s="111" t="b">
        <v>1</v>
      </c>
      <c r="AV36" s="111" t="b">
        <v>1</v>
      </c>
      <c r="AW36" s="111" t="b">
        <v>1</v>
      </c>
      <c r="AX36" s="111" t="b">
        <v>1</v>
      </c>
      <c r="AY36" s="111" t="b">
        <v>1</v>
      </c>
      <c r="AZ36" s="111" t="b">
        <v>1</v>
      </c>
      <c r="BA36" s="111" t="b">
        <v>1</v>
      </c>
      <c r="BB36" s="111" t="b">
        <v>1</v>
      </c>
      <c r="BC36" s="111" t="b">
        <v>1</v>
      </c>
      <c r="BD36" s="111" t="b">
        <v>0</v>
      </c>
      <c r="BE36" s="111" t="b">
        <v>1</v>
      </c>
      <c r="BF36" s="111" t="b">
        <v>0</v>
      </c>
      <c r="BG36" s="111" t="b">
        <v>0</v>
      </c>
      <c r="BH36" s="111" t="b">
        <v>0</v>
      </c>
      <c r="BI36" s="111" t="b">
        <v>1</v>
      </c>
      <c r="BJ36" s="111" t="b">
        <v>1</v>
      </c>
      <c r="BK36" s="111" t="b">
        <v>1</v>
      </c>
      <c r="BL36" s="111" t="b">
        <v>1</v>
      </c>
      <c r="BM36" s="111" t="b">
        <v>1</v>
      </c>
      <c r="BN36" s="111" t="b">
        <v>1</v>
      </c>
      <c r="BO36" s="111" t="b">
        <v>1</v>
      </c>
      <c r="BP36" s="111" t="b">
        <v>1</v>
      </c>
      <c r="BQ36" s="111" t="b">
        <v>1</v>
      </c>
      <c r="BR36" s="111" t="b">
        <v>0</v>
      </c>
      <c r="BS36" s="111" t="b">
        <v>1</v>
      </c>
      <c r="BT36" s="111" t="b">
        <v>0</v>
      </c>
      <c r="BU36" s="111" t="b">
        <v>1</v>
      </c>
      <c r="BV36" s="111" t="b">
        <v>1</v>
      </c>
      <c r="BW36" s="111" t="b">
        <v>1</v>
      </c>
      <c r="BX36" s="111" t="b">
        <v>1</v>
      </c>
      <c r="BY36" s="111" t="b">
        <v>1</v>
      </c>
      <c r="BZ36" s="111" t="b">
        <v>0</v>
      </c>
      <c r="CA36" s="111" t="b">
        <v>1</v>
      </c>
      <c r="CB36" s="111" t="b">
        <v>1</v>
      </c>
      <c r="CC36" s="111" t="b">
        <v>1</v>
      </c>
      <c r="CD36" s="111" t="b">
        <v>1</v>
      </c>
      <c r="CE36" s="111" t="b">
        <v>1</v>
      </c>
      <c r="CF36" s="111" t="b">
        <v>1</v>
      </c>
      <c r="CG36" s="111" t="b">
        <v>0</v>
      </c>
      <c r="CH36" s="111" t="b">
        <v>1</v>
      </c>
      <c r="CI36" s="111" t="b">
        <v>1</v>
      </c>
      <c r="CJ36" s="111" t="b">
        <v>1</v>
      </c>
      <c r="CK36" s="111" t="b">
        <v>1</v>
      </c>
      <c r="CL36" s="111" t="b">
        <v>1</v>
      </c>
      <c r="CM36" s="111" t="b">
        <v>1</v>
      </c>
      <c r="CN36" s="111" t="b">
        <v>1</v>
      </c>
    </row>
    <row r="37">
      <c r="A37" s="109" t="s">
        <v>1040</v>
      </c>
      <c r="B37" s="109">
        <v>6.205305063E9</v>
      </c>
      <c r="C37" s="109" t="s">
        <v>1041</v>
      </c>
      <c r="D37" s="109" t="s">
        <v>571</v>
      </c>
      <c r="E37" s="110" t="s">
        <v>1042</v>
      </c>
      <c r="F37" s="109" t="b">
        <v>1</v>
      </c>
      <c r="G37" s="109" t="b">
        <v>0</v>
      </c>
      <c r="H37" s="109" t="b">
        <v>1</v>
      </c>
      <c r="I37" s="109" t="b">
        <v>1</v>
      </c>
      <c r="J37" s="109" t="b">
        <v>1</v>
      </c>
      <c r="K37" s="109" t="b">
        <v>0</v>
      </c>
      <c r="L37" s="109" t="b">
        <v>1</v>
      </c>
      <c r="M37" s="109" t="b">
        <v>1</v>
      </c>
      <c r="N37" s="109" t="b">
        <v>1</v>
      </c>
      <c r="O37" s="109" t="b">
        <v>1</v>
      </c>
      <c r="P37" s="109" t="b">
        <v>1</v>
      </c>
      <c r="Q37" s="109" t="b">
        <v>1</v>
      </c>
      <c r="R37" s="109" t="b">
        <v>1</v>
      </c>
      <c r="S37" s="109" t="b">
        <v>1</v>
      </c>
      <c r="T37" s="109" t="b">
        <v>1</v>
      </c>
      <c r="U37" s="109" t="b">
        <v>1</v>
      </c>
      <c r="V37" s="109" t="b">
        <v>1</v>
      </c>
      <c r="W37" s="109" t="b">
        <v>1</v>
      </c>
      <c r="X37" s="109" t="b">
        <v>1</v>
      </c>
      <c r="Y37" s="109" t="b">
        <v>1</v>
      </c>
      <c r="Z37" s="109" t="b">
        <v>1</v>
      </c>
      <c r="AA37" s="109" t="b">
        <v>1</v>
      </c>
      <c r="AB37" s="109" t="b">
        <v>0</v>
      </c>
      <c r="AC37" s="109" t="b">
        <v>1</v>
      </c>
      <c r="AD37" s="109" t="b">
        <v>1</v>
      </c>
      <c r="AE37" s="109" t="b">
        <v>1</v>
      </c>
      <c r="AF37" s="109" t="b">
        <v>1</v>
      </c>
      <c r="AG37" s="109" t="b">
        <v>1</v>
      </c>
      <c r="AH37" s="109" t="b">
        <v>1</v>
      </c>
      <c r="AI37" s="109" t="b">
        <v>1</v>
      </c>
      <c r="AJ37" s="109" t="b">
        <v>1</v>
      </c>
      <c r="AK37" s="109" t="b">
        <v>0</v>
      </c>
      <c r="AL37" s="109" t="b">
        <v>0</v>
      </c>
      <c r="AM37" s="109" t="b">
        <v>0</v>
      </c>
      <c r="AN37" s="109" t="b">
        <v>0</v>
      </c>
      <c r="AO37" s="109" t="b">
        <v>1</v>
      </c>
      <c r="AP37" s="109" t="b">
        <v>1</v>
      </c>
      <c r="AQ37" s="109" t="b">
        <v>1</v>
      </c>
      <c r="AR37" s="109" t="b">
        <v>1</v>
      </c>
      <c r="AS37" s="109" t="b">
        <v>1</v>
      </c>
      <c r="AT37" s="109" t="b">
        <v>1</v>
      </c>
      <c r="AU37" s="109" t="b">
        <v>1</v>
      </c>
      <c r="AV37" s="109" t="b">
        <v>1</v>
      </c>
      <c r="AW37" s="109" t="b">
        <v>1</v>
      </c>
      <c r="AX37" s="109" t="b">
        <v>1</v>
      </c>
      <c r="AY37" s="109" t="b">
        <v>1</v>
      </c>
      <c r="AZ37" s="109" t="b">
        <v>1</v>
      </c>
      <c r="BA37" s="109" t="b">
        <v>1</v>
      </c>
      <c r="BB37" s="109" t="b">
        <v>1</v>
      </c>
      <c r="BC37" s="109" t="b">
        <v>1</v>
      </c>
      <c r="BD37" s="109" t="b">
        <v>1</v>
      </c>
      <c r="BE37" s="109" t="b">
        <v>1</v>
      </c>
      <c r="BF37" s="109" t="b">
        <v>1</v>
      </c>
      <c r="BG37" s="109" t="b">
        <v>1</v>
      </c>
      <c r="BH37" s="109" t="b">
        <v>1</v>
      </c>
      <c r="BI37" s="109" t="b">
        <v>0</v>
      </c>
      <c r="BJ37" s="109" t="b">
        <v>0</v>
      </c>
      <c r="BK37" s="109" t="b">
        <v>1</v>
      </c>
      <c r="BL37" s="109" t="b">
        <v>1</v>
      </c>
      <c r="BM37" s="109" t="b">
        <v>1</v>
      </c>
      <c r="BN37" s="109" t="b">
        <v>0</v>
      </c>
      <c r="BO37" s="109" t="b">
        <v>1</v>
      </c>
      <c r="BP37" s="109" t="b">
        <v>1</v>
      </c>
      <c r="BQ37" s="109" t="b">
        <v>1</v>
      </c>
      <c r="BR37" s="109" t="b">
        <v>0</v>
      </c>
      <c r="BS37" s="109" t="b">
        <v>1</v>
      </c>
      <c r="BT37" s="109" t="b">
        <v>1</v>
      </c>
      <c r="BU37" s="109" t="b">
        <v>1</v>
      </c>
      <c r="BV37" s="109" t="b">
        <v>1</v>
      </c>
      <c r="BW37" s="109" t="b">
        <v>1</v>
      </c>
      <c r="BX37" s="109" t="b">
        <v>1</v>
      </c>
      <c r="BY37" s="109" t="b">
        <v>1</v>
      </c>
      <c r="BZ37" s="109" t="b">
        <v>1</v>
      </c>
      <c r="CA37" s="109" t="b">
        <v>1</v>
      </c>
      <c r="CB37" s="109" t="b">
        <v>1</v>
      </c>
      <c r="CC37" s="109" t="b">
        <v>1</v>
      </c>
      <c r="CD37" s="109" t="b">
        <v>1</v>
      </c>
      <c r="CE37" s="109" t="b">
        <v>1</v>
      </c>
      <c r="CF37" s="109" t="b">
        <v>1</v>
      </c>
      <c r="CG37" s="109" t="b">
        <v>1</v>
      </c>
      <c r="CH37" s="109" t="b">
        <v>1</v>
      </c>
      <c r="CI37" s="109" t="b">
        <v>1</v>
      </c>
      <c r="CJ37" s="109" t="b">
        <v>1</v>
      </c>
      <c r="CK37" s="109" t="b">
        <v>1</v>
      </c>
      <c r="CL37" s="109" t="b">
        <v>1</v>
      </c>
      <c r="CM37" s="109" t="b">
        <v>1</v>
      </c>
      <c r="CN37" s="109" t="b">
        <v>1</v>
      </c>
    </row>
    <row r="38">
      <c r="A38" s="109" t="s">
        <v>1043</v>
      </c>
      <c r="B38" s="109">
        <v>8.409199572E9</v>
      </c>
      <c r="C38" s="109" t="s">
        <v>1044</v>
      </c>
      <c r="D38" s="109" t="s">
        <v>571</v>
      </c>
      <c r="F38" s="109" t="b">
        <v>1</v>
      </c>
      <c r="G38" s="109" t="b">
        <v>0</v>
      </c>
      <c r="H38" s="109" t="b">
        <v>0</v>
      </c>
      <c r="I38" s="109" t="b">
        <v>0</v>
      </c>
      <c r="J38" s="109" t="b">
        <v>1</v>
      </c>
      <c r="K38" s="109" t="b">
        <v>0</v>
      </c>
      <c r="L38" s="109" t="b">
        <v>0</v>
      </c>
      <c r="M38" s="109" t="b">
        <v>0</v>
      </c>
      <c r="N38" s="109" t="b">
        <v>0</v>
      </c>
      <c r="O38" s="109" t="b">
        <v>1</v>
      </c>
      <c r="P38" s="109" t="b">
        <v>1</v>
      </c>
      <c r="Q38" s="109" t="b">
        <v>0</v>
      </c>
      <c r="R38" s="109" t="b">
        <v>1</v>
      </c>
      <c r="S38" s="109" t="b">
        <v>1</v>
      </c>
      <c r="T38" s="109" t="b">
        <v>1</v>
      </c>
      <c r="U38" s="109" t="b">
        <v>0</v>
      </c>
      <c r="V38" s="109" t="b">
        <v>1</v>
      </c>
      <c r="W38" s="109" t="b">
        <v>1</v>
      </c>
      <c r="X38" s="109" t="b">
        <v>1</v>
      </c>
      <c r="Y38" s="109" t="b">
        <v>1</v>
      </c>
      <c r="Z38" s="109" t="b">
        <v>1</v>
      </c>
      <c r="AA38" s="109" t="b">
        <v>1</v>
      </c>
      <c r="AB38" s="109" t="b">
        <v>0</v>
      </c>
      <c r="AC38" s="109" t="b">
        <v>0</v>
      </c>
      <c r="AD38" s="109" t="b">
        <v>0</v>
      </c>
      <c r="AE38" s="109" t="b">
        <v>0</v>
      </c>
      <c r="AF38" s="109" t="b">
        <v>1</v>
      </c>
      <c r="AG38" s="109" t="b">
        <v>1</v>
      </c>
      <c r="AH38" s="109" t="b">
        <v>0</v>
      </c>
      <c r="AI38" s="109" t="b">
        <v>1</v>
      </c>
      <c r="AJ38" s="109" t="b">
        <v>0</v>
      </c>
      <c r="AK38" s="109" t="b">
        <v>0</v>
      </c>
      <c r="AL38" s="109" t="b">
        <v>1</v>
      </c>
      <c r="AM38" s="109" t="b">
        <v>1</v>
      </c>
      <c r="AN38" s="109" t="b">
        <v>0</v>
      </c>
      <c r="AO38" s="109" t="b">
        <v>1</v>
      </c>
      <c r="AP38" s="109" t="b">
        <v>1</v>
      </c>
      <c r="AQ38" s="109" t="b">
        <v>1</v>
      </c>
      <c r="AR38" s="109" t="b">
        <v>1</v>
      </c>
      <c r="AS38" s="109" t="b">
        <v>1</v>
      </c>
      <c r="AT38" s="109" t="b">
        <v>1</v>
      </c>
      <c r="AU38" s="109" t="b">
        <v>1</v>
      </c>
      <c r="AV38" s="109" t="b">
        <v>1</v>
      </c>
      <c r="AW38" s="109" t="b">
        <v>1</v>
      </c>
      <c r="AX38" s="109" t="b">
        <v>1</v>
      </c>
      <c r="AY38" s="109" t="b">
        <v>0</v>
      </c>
      <c r="AZ38" s="109" t="b">
        <v>1</v>
      </c>
      <c r="BA38" s="109" t="b">
        <v>1</v>
      </c>
      <c r="BB38" s="109" t="b">
        <v>1</v>
      </c>
      <c r="BC38" s="109" t="b">
        <v>1</v>
      </c>
      <c r="BD38" s="109" t="b">
        <v>1</v>
      </c>
      <c r="BE38" s="109" t="b">
        <v>1</v>
      </c>
      <c r="BF38" s="109" t="b">
        <v>0</v>
      </c>
      <c r="BG38" s="109" t="b">
        <v>0</v>
      </c>
      <c r="BH38" s="109" t="b">
        <v>0</v>
      </c>
      <c r="BI38" s="109" t="b">
        <v>0</v>
      </c>
      <c r="BJ38" s="109" t="b">
        <v>0</v>
      </c>
      <c r="BK38" s="109" t="b">
        <v>0</v>
      </c>
      <c r="BL38" s="109" t="b">
        <v>1</v>
      </c>
      <c r="BM38" s="109" t="b">
        <v>1</v>
      </c>
      <c r="BN38" s="109" t="b">
        <v>1</v>
      </c>
      <c r="BO38" s="109" t="b">
        <v>1</v>
      </c>
      <c r="BP38" s="109" t="b">
        <v>1</v>
      </c>
      <c r="BQ38" s="109" t="b">
        <v>1</v>
      </c>
      <c r="BR38" s="109" t="b">
        <v>1</v>
      </c>
      <c r="BS38" s="109" t="b">
        <v>1</v>
      </c>
      <c r="BT38" s="109" t="b">
        <v>1</v>
      </c>
      <c r="BU38" s="109" t="b">
        <v>0</v>
      </c>
      <c r="BV38" s="109" t="b">
        <v>1</v>
      </c>
      <c r="BW38" s="109" t="b">
        <v>1</v>
      </c>
      <c r="BX38" s="109" t="b">
        <v>1</v>
      </c>
      <c r="BY38" s="109" t="b">
        <v>1</v>
      </c>
      <c r="BZ38" s="109" t="b">
        <v>1</v>
      </c>
      <c r="CA38" s="109" t="b">
        <v>1</v>
      </c>
      <c r="CB38" s="109" t="b">
        <v>1</v>
      </c>
      <c r="CC38" s="109" t="b">
        <v>1</v>
      </c>
      <c r="CD38" s="109" t="b">
        <v>1</v>
      </c>
      <c r="CE38" s="109" t="b">
        <v>1</v>
      </c>
      <c r="CF38" s="109" t="b">
        <v>1</v>
      </c>
      <c r="CG38" s="109" t="b">
        <v>0</v>
      </c>
      <c r="CH38" s="109" t="b">
        <v>1</v>
      </c>
      <c r="CI38" s="109" t="b">
        <v>0</v>
      </c>
      <c r="CJ38" s="109" t="b">
        <v>1</v>
      </c>
      <c r="CK38" s="109" t="b">
        <v>1</v>
      </c>
      <c r="CL38" s="109" t="b">
        <v>1</v>
      </c>
      <c r="CM38" s="109" t="b">
        <v>1</v>
      </c>
      <c r="CN38" s="109" t="b">
        <v>1</v>
      </c>
    </row>
    <row r="39">
      <c r="A39" s="109" t="s">
        <v>1045</v>
      </c>
      <c r="B39" s="109">
        <v>9.599208146E9</v>
      </c>
      <c r="C39" s="109" t="s">
        <v>1046</v>
      </c>
      <c r="D39" s="109" t="s">
        <v>571</v>
      </c>
      <c r="F39" s="109" t="b">
        <v>0</v>
      </c>
      <c r="G39" s="109" t="b">
        <v>0</v>
      </c>
      <c r="H39" s="109" t="b">
        <v>0</v>
      </c>
      <c r="I39" s="109" t="b">
        <v>0</v>
      </c>
      <c r="J39" s="109" t="b">
        <v>0</v>
      </c>
      <c r="K39" s="109" t="b">
        <v>0</v>
      </c>
      <c r="L39" s="109" t="b">
        <v>0</v>
      </c>
      <c r="M39" s="109" t="b">
        <v>0</v>
      </c>
      <c r="N39" s="109" t="b">
        <v>0</v>
      </c>
      <c r="O39" s="109" t="b">
        <v>0</v>
      </c>
      <c r="P39" s="109" t="b">
        <v>0</v>
      </c>
      <c r="Q39" s="109" t="b">
        <v>0</v>
      </c>
      <c r="R39" s="109" t="b">
        <v>0</v>
      </c>
      <c r="S39" s="109" t="b">
        <v>0</v>
      </c>
      <c r="T39" s="109" t="b">
        <v>0</v>
      </c>
      <c r="U39" s="109" t="b">
        <v>0</v>
      </c>
      <c r="V39" s="109" t="b">
        <v>0</v>
      </c>
      <c r="W39" s="109" t="b">
        <v>0</v>
      </c>
      <c r="X39" s="109" t="b">
        <v>0</v>
      </c>
      <c r="Y39" s="109" t="b">
        <v>0</v>
      </c>
      <c r="Z39" s="109" t="b">
        <v>0</v>
      </c>
      <c r="AA39" s="109" t="b">
        <v>0</v>
      </c>
      <c r="AB39" s="109" t="b">
        <v>0</v>
      </c>
      <c r="AC39" s="109" t="b">
        <v>0</v>
      </c>
      <c r="AD39" s="109" t="b">
        <v>0</v>
      </c>
      <c r="AE39" s="109" t="b">
        <v>0</v>
      </c>
      <c r="AF39" s="109" t="b">
        <v>0</v>
      </c>
      <c r="AG39" s="109" t="b">
        <v>0</v>
      </c>
      <c r="AH39" s="109" t="b">
        <v>0</v>
      </c>
      <c r="AI39" s="109" t="b">
        <v>1</v>
      </c>
      <c r="AJ39" s="109" t="b">
        <v>0</v>
      </c>
      <c r="AK39" s="109" t="b">
        <v>0</v>
      </c>
      <c r="AL39" s="109" t="b">
        <v>1</v>
      </c>
      <c r="AM39" s="109" t="b">
        <v>1</v>
      </c>
      <c r="AN39" s="109" t="b">
        <v>1</v>
      </c>
      <c r="AO39" s="109" t="b">
        <v>1</v>
      </c>
      <c r="AP39" s="109" t="b">
        <v>0</v>
      </c>
      <c r="AQ39" s="109" t="b">
        <v>0</v>
      </c>
      <c r="AR39" s="109" t="b">
        <v>0</v>
      </c>
      <c r="AS39" s="109" t="b">
        <v>0</v>
      </c>
      <c r="AT39" s="109" t="b">
        <v>0</v>
      </c>
      <c r="AU39" s="109" t="b">
        <v>0</v>
      </c>
      <c r="AV39" s="109" t="b">
        <v>0</v>
      </c>
      <c r="AW39" s="109" t="b">
        <v>0</v>
      </c>
      <c r="AX39" s="109" t="b">
        <v>0</v>
      </c>
      <c r="AY39" s="109" t="b">
        <v>1</v>
      </c>
      <c r="AZ39" s="109" t="b">
        <v>0</v>
      </c>
      <c r="BA39" s="109" t="b">
        <v>1</v>
      </c>
      <c r="BB39" s="109" t="b">
        <v>1</v>
      </c>
      <c r="BC39" s="109" t="b">
        <v>0</v>
      </c>
      <c r="BD39" s="109" t="b">
        <v>1</v>
      </c>
      <c r="BE39" s="109" t="b">
        <v>1</v>
      </c>
      <c r="BF39" s="109" t="b">
        <v>1</v>
      </c>
      <c r="BG39" s="109" t="b">
        <v>1</v>
      </c>
      <c r="BH39" s="109" t="b">
        <v>0</v>
      </c>
      <c r="BI39" s="109" t="b">
        <v>0</v>
      </c>
      <c r="BJ39" s="109" t="b">
        <v>0</v>
      </c>
      <c r="BK39" s="109" t="b">
        <v>0</v>
      </c>
      <c r="BL39" s="109" t="b">
        <v>1</v>
      </c>
      <c r="BM39" s="109" t="b">
        <v>1</v>
      </c>
      <c r="BN39" s="109" t="b">
        <v>1</v>
      </c>
      <c r="BO39" s="109" t="b">
        <v>1</v>
      </c>
      <c r="BP39" s="109" t="b">
        <v>1</v>
      </c>
      <c r="BQ39" s="109" t="b">
        <v>1</v>
      </c>
      <c r="BR39" s="109" t="b">
        <v>1</v>
      </c>
      <c r="BS39" s="109" t="b">
        <v>1</v>
      </c>
      <c r="BT39" s="109" t="b">
        <v>1</v>
      </c>
      <c r="BU39" s="109" t="b">
        <v>1</v>
      </c>
      <c r="BV39" s="109" t="b">
        <v>1</v>
      </c>
      <c r="BW39" s="109" t="b">
        <v>1</v>
      </c>
      <c r="BX39" s="109" t="b">
        <v>1</v>
      </c>
      <c r="BY39" s="109" t="b">
        <v>1</v>
      </c>
      <c r="BZ39" s="109" t="b">
        <v>1</v>
      </c>
      <c r="CA39" s="109" t="b">
        <v>1</v>
      </c>
      <c r="CB39" s="109" t="b">
        <v>1</v>
      </c>
      <c r="CC39" s="109" t="b">
        <v>1</v>
      </c>
      <c r="CD39" s="109" t="b">
        <v>1</v>
      </c>
      <c r="CE39" s="109" t="b">
        <v>1</v>
      </c>
      <c r="CF39" s="109" t="b">
        <v>1</v>
      </c>
      <c r="CG39" s="109" t="b">
        <v>1</v>
      </c>
      <c r="CH39" s="109" t="b">
        <v>1</v>
      </c>
      <c r="CI39" s="109" t="b">
        <v>1</v>
      </c>
      <c r="CJ39" s="109" t="b">
        <v>1</v>
      </c>
      <c r="CK39" s="109" t="b">
        <v>1</v>
      </c>
      <c r="CL39" s="109" t="b">
        <v>1</v>
      </c>
      <c r="CM39" s="109" t="b">
        <v>1</v>
      </c>
      <c r="CN39" s="109" t="b">
        <v>1</v>
      </c>
    </row>
    <row r="40">
      <c r="A40" s="109" t="s">
        <v>1047</v>
      </c>
      <c r="B40" s="109">
        <v>9.244007322E9</v>
      </c>
      <c r="C40" s="109" t="s">
        <v>1048</v>
      </c>
      <c r="D40" s="109" t="s">
        <v>571</v>
      </c>
      <c r="F40" s="109" t="b">
        <v>0</v>
      </c>
      <c r="G40" s="109" t="b">
        <v>0</v>
      </c>
      <c r="H40" s="109" t="b">
        <v>1</v>
      </c>
      <c r="I40" s="109" t="b">
        <v>0</v>
      </c>
      <c r="J40" s="109" t="b">
        <v>1</v>
      </c>
      <c r="K40" s="109" t="b">
        <v>0</v>
      </c>
      <c r="L40" s="109" t="b">
        <v>0</v>
      </c>
      <c r="M40" s="109" t="b">
        <v>0</v>
      </c>
      <c r="N40" s="109" t="b">
        <v>0</v>
      </c>
      <c r="O40" s="109" t="b">
        <v>0</v>
      </c>
      <c r="P40" s="109" t="b">
        <v>0</v>
      </c>
      <c r="Q40" s="109" t="b">
        <v>1</v>
      </c>
      <c r="R40" s="109" t="b">
        <v>1</v>
      </c>
      <c r="S40" s="109" t="b">
        <v>0</v>
      </c>
      <c r="T40" s="109" t="b">
        <v>1</v>
      </c>
      <c r="U40" s="109" t="b">
        <v>0</v>
      </c>
      <c r="V40" s="109" t="b">
        <v>0</v>
      </c>
      <c r="W40" s="109" t="b">
        <v>1</v>
      </c>
      <c r="X40" s="109" t="b">
        <v>0</v>
      </c>
      <c r="Y40" s="109" t="b">
        <v>1</v>
      </c>
      <c r="Z40" s="109" t="b">
        <v>0</v>
      </c>
      <c r="AA40" s="109" t="b">
        <v>0</v>
      </c>
      <c r="AB40" s="109" t="b">
        <v>0</v>
      </c>
      <c r="AC40" s="109" t="b">
        <v>0</v>
      </c>
      <c r="AD40" s="109" t="b">
        <v>1</v>
      </c>
      <c r="AE40" s="109" t="b">
        <v>1</v>
      </c>
      <c r="AF40" s="109" t="b">
        <v>0</v>
      </c>
      <c r="AG40" s="109" t="b">
        <v>0</v>
      </c>
      <c r="AH40" s="109" t="b">
        <v>0</v>
      </c>
      <c r="AI40" s="109" t="b">
        <v>0</v>
      </c>
      <c r="AJ40" s="109" t="b">
        <v>0</v>
      </c>
      <c r="AK40" s="109" t="b">
        <v>0</v>
      </c>
      <c r="AL40" s="109" t="b">
        <v>1</v>
      </c>
      <c r="AM40" s="109" t="b">
        <v>1</v>
      </c>
      <c r="AN40" s="109" t="b">
        <v>1</v>
      </c>
      <c r="AO40" s="109" t="b">
        <v>0</v>
      </c>
      <c r="AP40" s="109" t="b">
        <v>1</v>
      </c>
      <c r="AQ40" s="109" t="b">
        <v>1</v>
      </c>
      <c r="AR40" s="109" t="b">
        <v>1</v>
      </c>
      <c r="AS40" s="109" t="b">
        <v>1</v>
      </c>
      <c r="AT40" s="109" t="b">
        <v>0</v>
      </c>
      <c r="AU40" s="109" t="b">
        <v>0</v>
      </c>
      <c r="AV40" s="109" t="b">
        <v>0</v>
      </c>
      <c r="AW40" s="109" t="b">
        <v>0</v>
      </c>
      <c r="AX40" s="109" t="b">
        <v>0</v>
      </c>
      <c r="AY40" s="109" t="b">
        <v>0</v>
      </c>
      <c r="AZ40" s="109" t="b">
        <v>0</v>
      </c>
      <c r="BA40" s="109" t="b">
        <v>0</v>
      </c>
      <c r="BB40" s="109" t="b">
        <v>0</v>
      </c>
      <c r="BC40" s="109" t="b">
        <v>0</v>
      </c>
      <c r="BD40" s="109" t="b">
        <v>0</v>
      </c>
      <c r="BE40" s="109" t="b">
        <v>0</v>
      </c>
      <c r="BF40" s="109" t="b">
        <v>0</v>
      </c>
      <c r="BG40" s="109" t="b">
        <v>1</v>
      </c>
      <c r="BH40" s="109" t="b">
        <v>1</v>
      </c>
      <c r="BI40" s="109" t="b">
        <v>0</v>
      </c>
      <c r="BJ40" s="109" t="b">
        <v>1</v>
      </c>
      <c r="BK40" s="109" t="b">
        <v>1</v>
      </c>
      <c r="BL40" s="109" t="b">
        <v>1</v>
      </c>
      <c r="BM40" s="109" t="b">
        <v>0</v>
      </c>
      <c r="BN40" s="109" t="b">
        <v>0</v>
      </c>
      <c r="BO40" s="109" t="b">
        <v>0</v>
      </c>
      <c r="BP40" s="109" t="b">
        <v>1</v>
      </c>
      <c r="BQ40" s="109" t="b">
        <v>0</v>
      </c>
      <c r="BR40" s="109" t="b">
        <v>1</v>
      </c>
      <c r="BS40" s="109" t="b">
        <v>1</v>
      </c>
      <c r="BT40" s="109" t="b">
        <v>1</v>
      </c>
      <c r="BU40" s="109" t="b">
        <v>1</v>
      </c>
      <c r="BV40" s="109" t="b">
        <v>1</v>
      </c>
      <c r="BW40" s="109" t="b">
        <v>1</v>
      </c>
      <c r="BX40" s="109" t="b">
        <v>1</v>
      </c>
      <c r="BY40" s="109" t="b">
        <v>1</v>
      </c>
      <c r="BZ40" s="109" t="b">
        <v>1</v>
      </c>
      <c r="CA40" s="109" t="b">
        <v>0</v>
      </c>
      <c r="CB40" s="109" t="b">
        <v>0</v>
      </c>
      <c r="CC40" s="109" t="b">
        <v>1</v>
      </c>
      <c r="CD40" s="109" t="b">
        <v>1</v>
      </c>
      <c r="CE40" s="109" t="b">
        <v>0</v>
      </c>
      <c r="CF40" s="109" t="b">
        <v>1</v>
      </c>
      <c r="CG40" s="109" t="b">
        <v>1</v>
      </c>
      <c r="CH40" s="109" t="b">
        <v>1</v>
      </c>
      <c r="CI40" s="109" t="b">
        <v>0</v>
      </c>
      <c r="CJ40" s="109" t="b">
        <v>0</v>
      </c>
      <c r="CK40" s="109" t="b">
        <v>1</v>
      </c>
      <c r="CL40" s="109" t="b">
        <v>1</v>
      </c>
      <c r="CM40" s="109" t="b">
        <v>0</v>
      </c>
      <c r="CN40" s="109" t="b">
        <v>1</v>
      </c>
    </row>
    <row r="41">
      <c r="A41" s="109" t="s">
        <v>1049</v>
      </c>
      <c r="B41" s="109">
        <v>7.388400233E9</v>
      </c>
      <c r="C41" s="109" t="s">
        <v>1050</v>
      </c>
      <c r="D41" s="109" t="s">
        <v>571</v>
      </c>
      <c r="F41" s="109" t="b">
        <v>0</v>
      </c>
      <c r="G41" s="109" t="b">
        <v>0</v>
      </c>
      <c r="H41" s="109" t="b">
        <v>1</v>
      </c>
      <c r="I41" s="109" t="b">
        <v>1</v>
      </c>
      <c r="J41" s="109" t="b">
        <v>1</v>
      </c>
      <c r="K41" s="109" t="b">
        <v>0</v>
      </c>
      <c r="L41" s="109" t="b">
        <v>0</v>
      </c>
      <c r="M41" s="109" t="b">
        <v>0</v>
      </c>
      <c r="N41" s="109" t="b">
        <v>0</v>
      </c>
      <c r="O41" s="109" t="b">
        <v>1</v>
      </c>
      <c r="P41" s="109" t="b">
        <v>0</v>
      </c>
      <c r="Q41" s="109" t="b">
        <v>0</v>
      </c>
      <c r="R41" s="109" t="b">
        <v>1</v>
      </c>
      <c r="S41" s="109" t="b">
        <v>1</v>
      </c>
      <c r="T41" s="109" t="b">
        <v>1</v>
      </c>
      <c r="U41" s="109" t="b">
        <v>0</v>
      </c>
      <c r="V41" s="109" t="b">
        <v>1</v>
      </c>
      <c r="W41" s="109" t="b">
        <v>1</v>
      </c>
      <c r="X41" s="109" t="b">
        <v>0</v>
      </c>
      <c r="Y41" s="109" t="b">
        <v>1</v>
      </c>
      <c r="Z41" s="109" t="b">
        <v>1</v>
      </c>
      <c r="AA41" s="109" t="b">
        <v>0</v>
      </c>
      <c r="AB41" s="109" t="b">
        <v>0</v>
      </c>
      <c r="AC41" s="109" t="b">
        <v>0</v>
      </c>
      <c r="AD41" s="109" t="b">
        <v>1</v>
      </c>
      <c r="AE41" s="109" t="b">
        <v>1</v>
      </c>
      <c r="AF41" s="109" t="b">
        <v>0</v>
      </c>
      <c r="AG41" s="109" t="b">
        <v>1</v>
      </c>
      <c r="AH41" s="109" t="b">
        <v>1</v>
      </c>
      <c r="AI41" s="109" t="b">
        <v>0</v>
      </c>
      <c r="AJ41" s="109" t="b">
        <v>1</v>
      </c>
      <c r="AK41" s="109" t="b">
        <v>1</v>
      </c>
      <c r="AL41" s="109" t="b">
        <v>1</v>
      </c>
      <c r="AM41" s="109" t="b">
        <v>1</v>
      </c>
      <c r="AN41" s="109" t="b">
        <v>0</v>
      </c>
      <c r="AO41" s="109" t="b">
        <v>1</v>
      </c>
      <c r="AP41" s="109" t="b">
        <v>1</v>
      </c>
      <c r="AQ41" s="109" t="b">
        <v>1</v>
      </c>
      <c r="AR41" s="109" t="b">
        <v>1</v>
      </c>
      <c r="AS41" s="109" t="b">
        <v>0</v>
      </c>
      <c r="AT41" s="109" t="b">
        <v>0</v>
      </c>
      <c r="AU41" s="109" t="b">
        <v>0</v>
      </c>
      <c r="AV41" s="109" t="b">
        <v>1</v>
      </c>
      <c r="AW41" s="109" t="b">
        <v>1</v>
      </c>
      <c r="AX41" s="109" t="b">
        <v>1</v>
      </c>
      <c r="AY41" s="109" t="b">
        <v>0</v>
      </c>
      <c r="AZ41" s="109" t="b">
        <v>1</v>
      </c>
      <c r="BA41" s="109" t="b">
        <v>1</v>
      </c>
      <c r="BB41" s="109" t="b">
        <v>1</v>
      </c>
      <c r="BC41" s="109" t="b">
        <v>0</v>
      </c>
      <c r="BD41" s="109" t="b">
        <v>0</v>
      </c>
      <c r="BE41" s="109" t="b">
        <v>0</v>
      </c>
      <c r="BF41" s="109" t="b">
        <v>1</v>
      </c>
      <c r="BG41" s="109" t="b">
        <v>1</v>
      </c>
      <c r="BH41" s="109" t="b">
        <v>0</v>
      </c>
      <c r="BI41" s="109" t="b">
        <v>0</v>
      </c>
      <c r="BJ41" s="109" t="b">
        <v>0</v>
      </c>
      <c r="BK41" s="109" t="b">
        <v>1</v>
      </c>
      <c r="BL41" s="109" t="b">
        <v>0</v>
      </c>
      <c r="BM41" s="109" t="b">
        <v>0</v>
      </c>
      <c r="BN41" s="109" t="b">
        <v>0</v>
      </c>
      <c r="BO41" s="109" t="b">
        <v>0</v>
      </c>
      <c r="BP41" s="109" t="b">
        <v>1</v>
      </c>
      <c r="BQ41" s="109" t="b">
        <v>1</v>
      </c>
      <c r="BR41" s="109" t="b">
        <v>1</v>
      </c>
      <c r="BS41" s="109" t="b">
        <v>0</v>
      </c>
      <c r="BT41" s="109" t="b">
        <v>1</v>
      </c>
      <c r="BU41" s="109" t="b">
        <v>0</v>
      </c>
      <c r="BV41" s="109" t="b">
        <v>1</v>
      </c>
      <c r="BW41" s="109" t="b">
        <v>0</v>
      </c>
      <c r="BX41" s="109" t="b">
        <v>1</v>
      </c>
      <c r="BY41" s="109" t="b">
        <v>1</v>
      </c>
      <c r="BZ41" s="109" t="b">
        <v>1</v>
      </c>
      <c r="CA41" s="109" t="b">
        <v>0</v>
      </c>
      <c r="CB41" s="109" t="b">
        <v>1</v>
      </c>
      <c r="CC41" s="109" t="b">
        <v>0</v>
      </c>
      <c r="CD41" s="109" t="b">
        <v>1</v>
      </c>
      <c r="CE41" s="109" t="b">
        <v>1</v>
      </c>
      <c r="CF41" s="109" t="b">
        <v>1</v>
      </c>
      <c r="CG41" s="109" t="b">
        <v>0</v>
      </c>
      <c r="CH41" s="109" t="b">
        <v>1</v>
      </c>
      <c r="CI41" s="109" t="b">
        <v>1</v>
      </c>
      <c r="CJ41" s="109" t="b">
        <v>0</v>
      </c>
      <c r="CK41" s="109" t="b">
        <v>1</v>
      </c>
      <c r="CL41" s="109" t="b">
        <v>1</v>
      </c>
      <c r="CM41" s="109" t="b">
        <v>1</v>
      </c>
      <c r="CN41" s="109" t="b">
        <v>1</v>
      </c>
    </row>
    <row r="42">
      <c r="A42" s="123" t="s">
        <v>1051</v>
      </c>
      <c r="B42" s="109">
        <v>8.447205538E9</v>
      </c>
      <c r="C42" s="109" t="s">
        <v>1052</v>
      </c>
      <c r="D42" s="109" t="s">
        <v>571</v>
      </c>
      <c r="F42" s="109" t="b">
        <v>1</v>
      </c>
      <c r="G42" s="109" t="b">
        <v>1</v>
      </c>
      <c r="H42" s="109" t="b">
        <v>0</v>
      </c>
      <c r="I42" s="109" t="b">
        <v>0</v>
      </c>
      <c r="J42" s="109" t="b">
        <v>0</v>
      </c>
      <c r="K42" s="109" t="b">
        <v>0</v>
      </c>
      <c r="L42" s="109" t="b">
        <v>0</v>
      </c>
      <c r="M42" s="109" t="b">
        <v>0</v>
      </c>
      <c r="N42" s="109" t="b">
        <v>1</v>
      </c>
      <c r="O42" s="109" t="b">
        <v>1</v>
      </c>
      <c r="P42" s="109" t="b">
        <v>1</v>
      </c>
      <c r="Q42" s="109" t="b">
        <v>0</v>
      </c>
      <c r="R42" s="109" t="b">
        <v>1</v>
      </c>
      <c r="S42" s="109" t="b">
        <v>1</v>
      </c>
      <c r="T42" s="109" t="b">
        <v>1</v>
      </c>
      <c r="U42" s="109" t="b">
        <v>0</v>
      </c>
      <c r="V42" s="109" t="b">
        <v>1</v>
      </c>
      <c r="W42" s="109" t="b">
        <v>1</v>
      </c>
      <c r="X42" s="109" t="b">
        <v>1</v>
      </c>
      <c r="Y42" s="109" t="b">
        <v>0</v>
      </c>
      <c r="Z42" s="109" t="b">
        <v>1</v>
      </c>
      <c r="AA42" s="109" t="b">
        <v>1</v>
      </c>
      <c r="AB42" s="109" t="b">
        <v>0</v>
      </c>
      <c r="AC42" s="109" t="b">
        <v>0</v>
      </c>
      <c r="AD42" s="109" t="b">
        <v>0</v>
      </c>
      <c r="AE42" s="109" t="b">
        <v>1</v>
      </c>
      <c r="AF42" s="109" t="b">
        <v>1</v>
      </c>
      <c r="AG42" s="109" t="b">
        <v>1</v>
      </c>
      <c r="AH42" s="109" t="b">
        <v>1</v>
      </c>
      <c r="AI42" s="109" t="b">
        <v>1</v>
      </c>
      <c r="AJ42" s="109" t="b">
        <v>1</v>
      </c>
      <c r="AK42" s="109" t="b">
        <v>0</v>
      </c>
      <c r="AL42" s="109" t="b">
        <v>0</v>
      </c>
      <c r="AM42" s="109" t="b">
        <v>1</v>
      </c>
      <c r="AN42" s="109" t="b">
        <v>1</v>
      </c>
      <c r="AO42" s="109" t="b">
        <v>1</v>
      </c>
      <c r="AP42" s="109" t="b">
        <v>1</v>
      </c>
      <c r="AQ42" s="109" t="b">
        <v>1</v>
      </c>
      <c r="AR42" s="109" t="b">
        <v>1</v>
      </c>
      <c r="AS42" s="109" t="b">
        <v>0</v>
      </c>
      <c r="AT42" s="109" t="b">
        <v>0</v>
      </c>
      <c r="AU42" s="109" t="b">
        <v>0</v>
      </c>
      <c r="AV42" s="109" t="b">
        <v>0</v>
      </c>
      <c r="AW42" s="109" t="b">
        <v>0</v>
      </c>
      <c r="AX42" s="109" t="b">
        <v>0</v>
      </c>
      <c r="AY42" s="109" t="b">
        <v>0</v>
      </c>
      <c r="AZ42" s="109" t="b">
        <v>0</v>
      </c>
      <c r="BA42" s="109" t="b">
        <v>0</v>
      </c>
      <c r="BB42" s="109" t="b">
        <v>0</v>
      </c>
      <c r="BC42" s="109" t="b">
        <v>0</v>
      </c>
      <c r="BD42" s="109" t="b">
        <v>0</v>
      </c>
      <c r="BE42" s="109" t="b">
        <v>0</v>
      </c>
      <c r="BF42" s="109" t="b">
        <v>0</v>
      </c>
      <c r="BG42" s="109" t="b">
        <v>0</v>
      </c>
      <c r="BH42" s="109" t="b">
        <v>0</v>
      </c>
      <c r="BI42" s="109" t="b">
        <v>0</v>
      </c>
      <c r="BJ42" s="109" t="b">
        <v>0</v>
      </c>
      <c r="BK42" s="109" t="b">
        <v>0</v>
      </c>
      <c r="BL42" s="109" t="b">
        <v>0</v>
      </c>
      <c r="BM42" s="109" t="b">
        <v>0</v>
      </c>
      <c r="BN42" s="109" t="b">
        <v>1</v>
      </c>
      <c r="BO42" s="109" t="b">
        <v>1</v>
      </c>
      <c r="BP42" s="109" t="b">
        <v>1</v>
      </c>
      <c r="BQ42" s="109" t="b">
        <v>1</v>
      </c>
      <c r="BR42" s="109" t="b">
        <v>1</v>
      </c>
      <c r="BS42" s="109" t="b">
        <v>1</v>
      </c>
      <c r="BT42" s="109" t="b">
        <v>1</v>
      </c>
      <c r="BU42" s="109" t="b">
        <v>0</v>
      </c>
      <c r="BV42" s="109" t="b">
        <v>1</v>
      </c>
      <c r="BW42" s="109" t="b">
        <v>0</v>
      </c>
      <c r="BX42" s="109" t="b">
        <v>1</v>
      </c>
      <c r="BY42" s="109" t="b">
        <v>1</v>
      </c>
      <c r="BZ42" s="109" t="b">
        <v>1</v>
      </c>
      <c r="CA42" s="109" t="b">
        <v>1</v>
      </c>
      <c r="CB42" s="109" t="b">
        <v>1</v>
      </c>
      <c r="CC42" s="109" t="b">
        <v>0</v>
      </c>
      <c r="CD42" s="109" t="b">
        <v>1</v>
      </c>
      <c r="CE42" s="109" t="b">
        <v>1</v>
      </c>
      <c r="CF42" s="109" t="b">
        <v>1</v>
      </c>
      <c r="CG42" s="109" t="b">
        <v>1</v>
      </c>
      <c r="CH42" s="109" t="b">
        <v>1</v>
      </c>
      <c r="CI42" s="109" t="b">
        <v>1</v>
      </c>
      <c r="CJ42" s="109" t="b">
        <v>1</v>
      </c>
      <c r="CK42" s="109" t="b">
        <v>1</v>
      </c>
      <c r="CL42" s="109" t="b">
        <v>1</v>
      </c>
      <c r="CM42" s="109" t="b">
        <v>1</v>
      </c>
      <c r="CN42" s="109" t="b">
        <v>1</v>
      </c>
    </row>
    <row r="43">
      <c r="A43" s="109" t="s">
        <v>1053</v>
      </c>
      <c r="B43" s="109">
        <v>7.250358256E9</v>
      </c>
      <c r="C43" s="109" t="s">
        <v>1054</v>
      </c>
      <c r="D43" s="109" t="s">
        <v>571</v>
      </c>
      <c r="F43" s="109" t="b">
        <v>1</v>
      </c>
      <c r="G43" s="109" t="b">
        <v>0</v>
      </c>
      <c r="H43" s="109" t="b">
        <v>1</v>
      </c>
      <c r="I43" s="109" t="b">
        <v>1</v>
      </c>
      <c r="J43" s="109" t="b">
        <v>1</v>
      </c>
      <c r="K43" s="109" t="b">
        <v>1</v>
      </c>
      <c r="L43" s="109" t="b">
        <v>0</v>
      </c>
      <c r="M43" s="109" t="b">
        <v>0</v>
      </c>
      <c r="N43" s="109" t="b">
        <v>0</v>
      </c>
      <c r="O43" s="109" t="b">
        <v>1</v>
      </c>
      <c r="P43" s="109" t="b">
        <v>1</v>
      </c>
      <c r="Q43" s="109" t="b">
        <v>0</v>
      </c>
      <c r="R43" s="109" t="b">
        <v>1</v>
      </c>
      <c r="S43" s="109" t="b">
        <v>1</v>
      </c>
      <c r="T43" s="109" t="b">
        <v>1</v>
      </c>
      <c r="U43" s="109" t="b">
        <v>0</v>
      </c>
      <c r="V43" s="109" t="b">
        <v>1</v>
      </c>
      <c r="W43" s="109" t="b">
        <v>0</v>
      </c>
      <c r="X43" s="109" t="b">
        <v>1</v>
      </c>
      <c r="Y43" s="109" t="b">
        <v>1</v>
      </c>
      <c r="Z43" s="109" t="b">
        <v>1</v>
      </c>
      <c r="AA43" s="109" t="b">
        <v>1</v>
      </c>
      <c r="AB43" s="109" t="b">
        <v>0</v>
      </c>
      <c r="AC43" s="109" t="b">
        <v>0</v>
      </c>
      <c r="AD43" s="109" t="b">
        <v>1</v>
      </c>
      <c r="AE43" s="109" t="b">
        <v>0</v>
      </c>
      <c r="AF43" s="109" t="b">
        <v>1</v>
      </c>
      <c r="AG43" s="109" t="b">
        <v>1</v>
      </c>
      <c r="AH43" s="109" t="b">
        <v>0</v>
      </c>
      <c r="AI43" s="109" t="b">
        <v>1</v>
      </c>
      <c r="AJ43" s="109" t="b">
        <v>0</v>
      </c>
      <c r="AK43" s="109" t="b">
        <v>0</v>
      </c>
      <c r="AL43" s="109" t="b">
        <v>1</v>
      </c>
      <c r="AM43" s="109" t="b">
        <v>1</v>
      </c>
      <c r="AN43" s="109" t="b">
        <v>0</v>
      </c>
      <c r="AO43" s="109" t="b">
        <v>1</v>
      </c>
      <c r="AP43" s="109" t="b">
        <v>1</v>
      </c>
      <c r="AQ43" s="109" t="b">
        <v>0</v>
      </c>
      <c r="AR43" s="109" t="b">
        <v>0</v>
      </c>
      <c r="AS43" s="109" t="b">
        <v>0</v>
      </c>
      <c r="AT43" s="109" t="b">
        <v>0</v>
      </c>
      <c r="AU43" s="109" t="b">
        <v>0</v>
      </c>
      <c r="AV43" s="109" t="b">
        <v>0</v>
      </c>
      <c r="AW43" s="109" t="b">
        <v>0</v>
      </c>
      <c r="AX43" s="109" t="b">
        <v>0</v>
      </c>
      <c r="AY43" s="109" t="b">
        <v>0</v>
      </c>
      <c r="AZ43" s="109" t="b">
        <v>0</v>
      </c>
      <c r="BA43" s="109" t="b">
        <v>0</v>
      </c>
      <c r="BB43" s="109" t="b">
        <v>0</v>
      </c>
      <c r="BC43" s="109" t="b">
        <v>0</v>
      </c>
      <c r="BD43" s="109" t="b">
        <v>0</v>
      </c>
      <c r="BE43" s="109" t="b">
        <v>1</v>
      </c>
      <c r="BF43" s="109" t="b">
        <v>1</v>
      </c>
      <c r="BG43" s="109" t="b">
        <v>1</v>
      </c>
      <c r="BH43" s="109" t="b">
        <v>1</v>
      </c>
      <c r="BI43" s="109" t="b">
        <v>1</v>
      </c>
      <c r="BJ43" s="109" t="b">
        <v>1</v>
      </c>
      <c r="BK43" s="109" t="b">
        <v>1</v>
      </c>
      <c r="BL43" s="109" t="b">
        <v>1</v>
      </c>
      <c r="BM43" s="109" t="b">
        <v>1</v>
      </c>
      <c r="BN43" s="109" t="b">
        <v>1</v>
      </c>
      <c r="BO43" s="109" t="b">
        <v>1</v>
      </c>
      <c r="BP43" s="109" t="b">
        <v>0</v>
      </c>
      <c r="BQ43" s="109" t="b">
        <v>1</v>
      </c>
      <c r="BR43" s="109" t="b">
        <v>1</v>
      </c>
      <c r="BS43" s="109" t="b">
        <v>1</v>
      </c>
      <c r="BT43" s="109" t="b">
        <v>1</v>
      </c>
      <c r="BU43" s="109" t="b">
        <v>0</v>
      </c>
      <c r="BV43" s="109" t="b">
        <v>1</v>
      </c>
      <c r="BW43" s="109" t="b">
        <v>0</v>
      </c>
      <c r="BX43" s="109" t="b">
        <v>1</v>
      </c>
      <c r="BY43" s="109" t="b">
        <v>1</v>
      </c>
      <c r="BZ43" s="109" t="b">
        <v>1</v>
      </c>
      <c r="CA43" s="109" t="b">
        <v>1</v>
      </c>
      <c r="CB43" s="109" t="b">
        <v>1</v>
      </c>
      <c r="CC43" s="109" t="b">
        <v>1</v>
      </c>
      <c r="CD43" s="109" t="b">
        <v>1</v>
      </c>
      <c r="CE43" s="109" t="b">
        <v>1</v>
      </c>
      <c r="CF43" s="109" t="b">
        <v>1</v>
      </c>
      <c r="CG43" s="109" t="b">
        <v>0</v>
      </c>
      <c r="CH43" s="109" t="b">
        <v>1</v>
      </c>
      <c r="CI43" s="109" t="b">
        <v>1</v>
      </c>
      <c r="CJ43" s="109" t="b">
        <v>1</v>
      </c>
      <c r="CK43" s="109" t="b">
        <v>1</v>
      </c>
      <c r="CL43" s="109" t="b">
        <v>1</v>
      </c>
      <c r="CM43" s="109" t="b">
        <v>1</v>
      </c>
      <c r="CN43" s="109" t="b">
        <v>1</v>
      </c>
    </row>
    <row r="44">
      <c r="A44" s="124" t="s">
        <v>1055</v>
      </c>
      <c r="B44" s="124">
        <v>9.31537908E9</v>
      </c>
      <c r="C44" s="124" t="s">
        <v>1056</v>
      </c>
      <c r="D44" s="124" t="s">
        <v>571</v>
      </c>
      <c r="F44" s="124" t="b">
        <v>0</v>
      </c>
      <c r="G44" s="124" t="b">
        <v>0</v>
      </c>
      <c r="H44" s="124" t="b">
        <v>0</v>
      </c>
      <c r="I44" s="124" t="b">
        <v>0</v>
      </c>
      <c r="J44" s="124" t="b">
        <v>0</v>
      </c>
      <c r="K44" s="124" t="b">
        <v>0</v>
      </c>
      <c r="L44" s="124" t="b">
        <v>0</v>
      </c>
      <c r="M44" s="124" t="b">
        <v>0</v>
      </c>
      <c r="N44" s="124" t="b">
        <v>0</v>
      </c>
      <c r="O44" s="124" t="b">
        <v>0</v>
      </c>
      <c r="P44" s="124" t="b">
        <v>0</v>
      </c>
      <c r="Q44" s="124" t="b">
        <v>0</v>
      </c>
      <c r="R44" s="124" t="b">
        <v>0</v>
      </c>
      <c r="S44" s="124" t="b">
        <v>0</v>
      </c>
      <c r="T44" s="124" t="b">
        <v>0</v>
      </c>
      <c r="U44" s="124" t="b">
        <v>0</v>
      </c>
      <c r="V44" s="124" t="b">
        <v>0</v>
      </c>
      <c r="W44" s="124" t="b">
        <v>0</v>
      </c>
      <c r="X44" s="124" t="b">
        <v>0</v>
      </c>
      <c r="Y44" s="124" t="b">
        <v>0</v>
      </c>
      <c r="Z44" s="124" t="b">
        <v>0</v>
      </c>
      <c r="AA44" s="124" t="b">
        <v>0</v>
      </c>
      <c r="AB44" s="124" t="b">
        <v>0</v>
      </c>
      <c r="AC44" s="124" t="b">
        <v>0</v>
      </c>
      <c r="AD44" s="124" t="b">
        <v>0</v>
      </c>
      <c r="AE44" s="124" t="b">
        <v>0</v>
      </c>
      <c r="AF44" s="124" t="b">
        <v>0</v>
      </c>
      <c r="AG44" s="124" t="b">
        <v>0</v>
      </c>
      <c r="AH44" s="124" t="b">
        <v>0</v>
      </c>
      <c r="AI44" s="124" t="b">
        <v>0</v>
      </c>
      <c r="AJ44" s="124" t="b">
        <v>0</v>
      </c>
      <c r="AK44" s="124" t="b">
        <v>0</v>
      </c>
      <c r="AL44" s="124" t="b">
        <v>0</v>
      </c>
      <c r="AM44" s="124" t="b">
        <v>0</v>
      </c>
      <c r="AN44" s="124" t="b">
        <v>0</v>
      </c>
      <c r="AO44" s="124" t="b">
        <v>0</v>
      </c>
      <c r="AP44" s="124" t="b">
        <v>0</v>
      </c>
      <c r="AQ44" s="124" t="b">
        <v>0</v>
      </c>
      <c r="AR44" s="124" t="b">
        <v>0</v>
      </c>
      <c r="AS44" s="124" t="b">
        <v>0</v>
      </c>
      <c r="AT44" s="124" t="b">
        <v>0</v>
      </c>
      <c r="AU44" s="124" t="b">
        <v>0</v>
      </c>
      <c r="AV44" s="124" t="b">
        <v>0</v>
      </c>
      <c r="AW44" s="124" t="b">
        <v>0</v>
      </c>
      <c r="AX44" s="124" t="b">
        <v>0</v>
      </c>
      <c r="AY44" s="124" t="b">
        <v>0</v>
      </c>
      <c r="AZ44" s="124" t="b">
        <v>0</v>
      </c>
      <c r="BA44" s="124" t="b">
        <v>0</v>
      </c>
      <c r="BB44" s="124" t="b">
        <v>0</v>
      </c>
      <c r="BC44" s="124" t="b">
        <v>0</v>
      </c>
      <c r="BD44" s="124" t="b">
        <v>0</v>
      </c>
      <c r="BE44" s="124" t="b">
        <v>0</v>
      </c>
      <c r="BF44" s="124" t="b">
        <v>0</v>
      </c>
      <c r="BG44" s="124" t="b">
        <v>0</v>
      </c>
      <c r="BH44" s="124" t="b">
        <v>0</v>
      </c>
      <c r="BI44" s="124" t="b">
        <v>0</v>
      </c>
      <c r="BJ44" s="124" t="b">
        <v>0</v>
      </c>
      <c r="BK44" s="124" t="b">
        <v>0</v>
      </c>
      <c r="BL44" s="124" t="b">
        <v>0</v>
      </c>
      <c r="BM44" s="124" t="b">
        <v>0</v>
      </c>
      <c r="BN44" s="124" t="b">
        <v>0</v>
      </c>
      <c r="BO44" s="124" t="b">
        <v>0</v>
      </c>
      <c r="BP44" s="124" t="b">
        <v>0</v>
      </c>
      <c r="BQ44" s="124" t="b">
        <v>0</v>
      </c>
      <c r="BR44" s="124" t="b">
        <v>0</v>
      </c>
      <c r="BS44" s="124" t="b">
        <v>0</v>
      </c>
      <c r="BT44" s="124" t="b">
        <v>0</v>
      </c>
      <c r="BU44" s="124" t="b">
        <v>0</v>
      </c>
      <c r="BV44" s="124" t="b">
        <v>0</v>
      </c>
      <c r="BW44" s="124" t="b">
        <v>0</v>
      </c>
      <c r="BX44" s="124" t="b">
        <v>0</v>
      </c>
      <c r="BY44" s="124" t="b">
        <v>0</v>
      </c>
      <c r="BZ44" s="124" t="b">
        <v>0</v>
      </c>
      <c r="CA44" s="124" t="b">
        <v>0</v>
      </c>
      <c r="CB44" s="124" t="b">
        <v>0</v>
      </c>
      <c r="CC44" s="124" t="b">
        <v>0</v>
      </c>
      <c r="CD44" s="124" t="b">
        <v>0</v>
      </c>
      <c r="CE44" s="124" t="b">
        <v>0</v>
      </c>
      <c r="CF44" s="124" t="b">
        <v>0</v>
      </c>
      <c r="CG44" s="124" t="b">
        <v>0</v>
      </c>
      <c r="CH44" s="124" t="b">
        <v>0</v>
      </c>
      <c r="CI44" s="124" t="b">
        <v>0</v>
      </c>
      <c r="CJ44" s="124" t="b">
        <v>1</v>
      </c>
      <c r="CK44" s="124" t="b">
        <v>0</v>
      </c>
      <c r="CL44" s="124" t="b">
        <v>1</v>
      </c>
      <c r="CM44" s="124" t="b">
        <v>0</v>
      </c>
      <c r="CN44" s="124" t="b">
        <v>1</v>
      </c>
    </row>
    <row r="45">
      <c r="A45" s="109" t="s">
        <v>1057</v>
      </c>
      <c r="B45" s="109">
        <v>7.065577815E9</v>
      </c>
      <c r="C45" s="109" t="s">
        <v>1058</v>
      </c>
      <c r="D45" s="109" t="s">
        <v>571</v>
      </c>
      <c r="F45" s="109" t="b">
        <v>1</v>
      </c>
      <c r="G45" s="109" t="b">
        <v>1</v>
      </c>
      <c r="H45" s="109" t="b">
        <v>1</v>
      </c>
      <c r="I45" s="109" t="b">
        <v>1</v>
      </c>
      <c r="J45" s="109" t="b">
        <v>1</v>
      </c>
      <c r="K45" s="109" t="b">
        <v>1</v>
      </c>
      <c r="L45" s="109" t="b">
        <v>1</v>
      </c>
      <c r="M45" s="109" t="b">
        <v>1</v>
      </c>
      <c r="N45" s="109" t="b">
        <v>1</v>
      </c>
      <c r="O45" s="109" t="b">
        <v>1</v>
      </c>
      <c r="P45" s="109" t="b">
        <v>1</v>
      </c>
      <c r="Q45" s="109" t="b">
        <v>1</v>
      </c>
      <c r="R45" s="109" t="b">
        <v>1</v>
      </c>
      <c r="S45" s="109" t="b">
        <v>1</v>
      </c>
      <c r="T45" s="109" t="b">
        <v>1</v>
      </c>
      <c r="U45" s="109" t="b">
        <v>0</v>
      </c>
      <c r="V45" s="109" t="b">
        <v>1</v>
      </c>
      <c r="W45" s="109" t="b">
        <v>1</v>
      </c>
      <c r="X45" s="109" t="b">
        <v>1</v>
      </c>
      <c r="Y45" s="109" t="b">
        <v>1</v>
      </c>
      <c r="Z45" s="109" t="b">
        <v>1</v>
      </c>
      <c r="AA45" s="109" t="b">
        <v>1</v>
      </c>
      <c r="AB45" s="109" t="b">
        <v>1</v>
      </c>
      <c r="AC45" s="109" t="b">
        <v>1</v>
      </c>
      <c r="AD45" s="109" t="b">
        <v>1</v>
      </c>
      <c r="AE45" s="109" t="b">
        <v>1</v>
      </c>
      <c r="AF45" s="109" t="b">
        <v>1</v>
      </c>
      <c r="AG45" s="109" t="b">
        <v>1</v>
      </c>
      <c r="AH45" s="109" t="b">
        <v>1</v>
      </c>
      <c r="AI45" s="109" t="b">
        <v>1</v>
      </c>
      <c r="AJ45" s="109" t="b">
        <v>1</v>
      </c>
      <c r="AK45" s="109" t="b">
        <v>1</v>
      </c>
      <c r="AL45" s="109" t="b">
        <v>1</v>
      </c>
      <c r="AM45" s="109" t="b">
        <v>1</v>
      </c>
      <c r="AN45" s="109" t="b">
        <v>1</v>
      </c>
      <c r="AO45" s="109" t="b">
        <v>1</v>
      </c>
      <c r="AP45" s="109" t="b">
        <v>1</v>
      </c>
      <c r="AQ45" s="109" t="b">
        <v>1</v>
      </c>
      <c r="AR45" s="109" t="b">
        <v>1</v>
      </c>
      <c r="AS45" s="109" t="b">
        <v>1</v>
      </c>
      <c r="AT45" s="109" t="b">
        <v>1</v>
      </c>
      <c r="AU45" s="109" t="b">
        <v>1</v>
      </c>
      <c r="AV45" s="109" t="b">
        <v>1</v>
      </c>
      <c r="AW45" s="109" t="b">
        <v>1</v>
      </c>
      <c r="AX45" s="109" t="b">
        <v>1</v>
      </c>
      <c r="AY45" s="109" t="b">
        <v>1</v>
      </c>
      <c r="AZ45" s="109" t="b">
        <v>1</v>
      </c>
      <c r="BA45" s="109" t="b">
        <v>1</v>
      </c>
      <c r="BB45" s="109" t="b">
        <v>1</v>
      </c>
      <c r="BC45" s="109" t="b">
        <v>1</v>
      </c>
      <c r="BD45" s="109" t="b">
        <v>1</v>
      </c>
      <c r="BE45" s="109" t="b">
        <v>1</v>
      </c>
      <c r="BF45" s="109" t="b">
        <v>1</v>
      </c>
      <c r="BG45" s="109" t="b">
        <v>1</v>
      </c>
      <c r="BH45" s="109" t="b">
        <v>1</v>
      </c>
      <c r="BI45" s="109" t="b">
        <v>1</v>
      </c>
      <c r="BJ45" s="109" t="b">
        <v>1</v>
      </c>
      <c r="BK45" s="109" t="b">
        <v>1</v>
      </c>
      <c r="BL45" s="109" t="b">
        <v>1</v>
      </c>
      <c r="BM45" s="109" t="b">
        <v>1</v>
      </c>
      <c r="BN45" s="109" t="b">
        <v>1</v>
      </c>
      <c r="BO45" s="109" t="b">
        <v>1</v>
      </c>
      <c r="BP45" s="109" t="b">
        <v>1</v>
      </c>
      <c r="BQ45" s="109" t="b">
        <v>1</v>
      </c>
      <c r="BR45" s="109" t="b">
        <v>1</v>
      </c>
      <c r="BS45" s="109" t="b">
        <v>1</v>
      </c>
      <c r="BT45" s="109" t="b">
        <v>1</v>
      </c>
      <c r="BU45" s="109" t="b">
        <v>1</v>
      </c>
      <c r="BV45" s="109" t="b">
        <v>1</v>
      </c>
      <c r="BW45" s="109" t="b">
        <v>1</v>
      </c>
      <c r="BX45" s="109" t="b">
        <v>1</v>
      </c>
      <c r="BY45" s="109" t="b">
        <v>1</v>
      </c>
      <c r="BZ45" s="109" t="b">
        <v>1</v>
      </c>
      <c r="CA45" s="109" t="b">
        <v>1</v>
      </c>
      <c r="CB45" s="109" t="b">
        <v>1</v>
      </c>
      <c r="CC45" s="109" t="b">
        <v>1</v>
      </c>
      <c r="CD45" s="109" t="b">
        <v>1</v>
      </c>
      <c r="CE45" s="109" t="b">
        <v>0</v>
      </c>
      <c r="CF45" s="109" t="b">
        <v>0</v>
      </c>
      <c r="CG45" s="109" t="b">
        <v>0</v>
      </c>
      <c r="CH45" s="109" t="b">
        <v>1</v>
      </c>
      <c r="CI45" s="109" t="b">
        <v>1</v>
      </c>
      <c r="CJ45" s="109" t="b">
        <v>1</v>
      </c>
      <c r="CK45" s="109" t="b">
        <v>1</v>
      </c>
      <c r="CL45" s="109" t="b">
        <v>1</v>
      </c>
      <c r="CM45" s="109" t="b">
        <v>1</v>
      </c>
      <c r="CN45" s="109" t="b">
        <v>1</v>
      </c>
    </row>
    <row r="46">
      <c r="A46" s="109" t="s">
        <v>1059</v>
      </c>
      <c r="B46" s="109">
        <v>9.142601081E9</v>
      </c>
      <c r="C46" s="109" t="s">
        <v>1060</v>
      </c>
      <c r="D46" s="109" t="s">
        <v>571</v>
      </c>
      <c r="F46" s="109" t="b">
        <v>1</v>
      </c>
      <c r="G46" s="109" t="b">
        <v>0</v>
      </c>
      <c r="H46" s="109" t="b">
        <v>1</v>
      </c>
      <c r="I46" s="109" t="b">
        <v>1</v>
      </c>
      <c r="J46" s="109" t="b">
        <v>1</v>
      </c>
      <c r="K46" s="109" t="b">
        <v>1</v>
      </c>
      <c r="L46" s="109" t="b">
        <v>1</v>
      </c>
      <c r="M46" s="109" t="b">
        <v>1</v>
      </c>
      <c r="N46" s="109" t="b">
        <v>1</v>
      </c>
      <c r="O46" s="109" t="b">
        <v>1</v>
      </c>
      <c r="P46" s="109" t="b">
        <v>0</v>
      </c>
      <c r="Q46" s="109" t="b">
        <v>0</v>
      </c>
      <c r="R46" s="109" t="b">
        <v>1</v>
      </c>
      <c r="S46" s="109" t="b">
        <v>1</v>
      </c>
      <c r="T46" s="109" t="b">
        <v>1</v>
      </c>
      <c r="U46" s="109" t="b">
        <v>0</v>
      </c>
      <c r="V46" s="109" t="b">
        <v>1</v>
      </c>
      <c r="W46" s="109" t="b">
        <v>1</v>
      </c>
      <c r="X46" s="109" t="b">
        <v>0</v>
      </c>
      <c r="Y46" s="109" t="b">
        <v>1</v>
      </c>
      <c r="Z46" s="109" t="b">
        <v>1</v>
      </c>
      <c r="AA46" s="109" t="b">
        <v>1</v>
      </c>
      <c r="AB46" s="109" t="b">
        <v>0</v>
      </c>
      <c r="AC46" s="109" t="b">
        <v>0</v>
      </c>
      <c r="AD46" s="109" t="b">
        <v>1</v>
      </c>
      <c r="AE46" s="109" t="b">
        <v>1</v>
      </c>
      <c r="AF46" s="109" t="b">
        <v>0</v>
      </c>
      <c r="AG46" s="109" t="b">
        <v>1</v>
      </c>
      <c r="AH46" s="109" t="b">
        <v>1</v>
      </c>
      <c r="AI46" s="109" t="b">
        <v>0</v>
      </c>
      <c r="AJ46" s="109" t="b">
        <v>1</v>
      </c>
      <c r="AK46" s="109" t="b">
        <v>1</v>
      </c>
      <c r="AL46" s="109" t="b">
        <v>1</v>
      </c>
      <c r="AM46" s="109" t="b">
        <v>1</v>
      </c>
      <c r="AN46" s="109" t="b">
        <v>0</v>
      </c>
      <c r="AO46" s="109" t="b">
        <v>1</v>
      </c>
      <c r="AP46" s="109" t="b">
        <v>1</v>
      </c>
      <c r="AQ46" s="109" t="b">
        <v>1</v>
      </c>
      <c r="AR46" s="109" t="b">
        <v>1</v>
      </c>
      <c r="AS46" s="109" t="b">
        <v>1</v>
      </c>
      <c r="AT46" s="109" t="b">
        <v>0</v>
      </c>
      <c r="AU46" s="109" t="b">
        <v>1</v>
      </c>
      <c r="AV46" s="109" t="b">
        <v>1</v>
      </c>
      <c r="AW46" s="109" t="b">
        <v>1</v>
      </c>
      <c r="AX46" s="109" t="b">
        <v>1</v>
      </c>
      <c r="AY46" s="109" t="b">
        <v>0</v>
      </c>
      <c r="AZ46" s="109" t="b">
        <v>1</v>
      </c>
      <c r="BA46" s="109" t="b">
        <v>1</v>
      </c>
      <c r="BB46" s="109" t="b">
        <v>1</v>
      </c>
      <c r="BC46" s="109" t="b">
        <v>1</v>
      </c>
      <c r="BD46" s="109" t="b">
        <v>1</v>
      </c>
      <c r="BE46" s="109" t="b">
        <v>1</v>
      </c>
      <c r="BF46" s="109" t="b">
        <v>1</v>
      </c>
      <c r="BG46" s="109" t="b">
        <v>1</v>
      </c>
      <c r="BH46" s="109" t="b">
        <v>1</v>
      </c>
      <c r="BI46" s="109" t="b">
        <v>0</v>
      </c>
      <c r="BJ46" s="109" t="b">
        <v>0</v>
      </c>
      <c r="BK46" s="109" t="b">
        <v>1</v>
      </c>
      <c r="BL46" s="109" t="b">
        <v>1</v>
      </c>
      <c r="BM46" s="109" t="b">
        <v>1</v>
      </c>
      <c r="BN46" s="109" t="b">
        <v>1</v>
      </c>
      <c r="BO46" s="109" t="b">
        <v>1</v>
      </c>
      <c r="BP46" s="109" t="b">
        <v>1</v>
      </c>
      <c r="BQ46" s="109" t="b">
        <v>1</v>
      </c>
      <c r="BR46" s="109" t="b">
        <v>1</v>
      </c>
      <c r="BS46" s="109" t="b">
        <v>0</v>
      </c>
      <c r="BT46" s="109" t="b">
        <v>1</v>
      </c>
      <c r="BU46" s="109" t="b">
        <v>1</v>
      </c>
      <c r="BV46" s="109" t="b">
        <v>1</v>
      </c>
      <c r="BW46" s="109" t="b">
        <v>1</v>
      </c>
      <c r="BX46" s="109" t="b">
        <v>1</v>
      </c>
      <c r="BY46" s="109" t="b">
        <v>1</v>
      </c>
      <c r="BZ46" s="109" t="b">
        <v>1</v>
      </c>
      <c r="CA46" s="109" t="b">
        <v>1</v>
      </c>
      <c r="CB46" s="109" t="b">
        <v>1</v>
      </c>
      <c r="CC46" s="109" t="b">
        <v>1</v>
      </c>
      <c r="CD46" s="109" t="b">
        <v>1</v>
      </c>
      <c r="CE46" s="109" t="b">
        <v>1</v>
      </c>
      <c r="CF46" s="109" t="b">
        <v>1</v>
      </c>
      <c r="CG46" s="109" t="b">
        <v>0</v>
      </c>
      <c r="CH46" s="109" t="b">
        <v>1</v>
      </c>
      <c r="CI46" s="109" t="b">
        <v>1</v>
      </c>
      <c r="CJ46" s="109" t="b">
        <v>1</v>
      </c>
      <c r="CK46" s="109" t="b">
        <v>0</v>
      </c>
      <c r="CL46" s="109" t="b">
        <v>0</v>
      </c>
      <c r="CM46" s="109" t="b">
        <v>0</v>
      </c>
      <c r="CN46" s="109" t="b">
        <v>1</v>
      </c>
    </row>
    <row r="47">
      <c r="A47" s="116" t="s">
        <v>1061</v>
      </c>
      <c r="B47" s="116">
        <v>6.396723989E9</v>
      </c>
      <c r="C47" s="116" t="s">
        <v>1062</v>
      </c>
      <c r="D47" s="116" t="s">
        <v>571</v>
      </c>
      <c r="F47" s="109" t="b">
        <v>0</v>
      </c>
      <c r="G47" s="109" t="b">
        <v>0</v>
      </c>
      <c r="H47" s="109" t="b">
        <v>1</v>
      </c>
      <c r="I47" s="109" t="b">
        <v>0</v>
      </c>
      <c r="J47" s="109" t="b">
        <v>0</v>
      </c>
      <c r="K47" s="109" t="b">
        <v>0</v>
      </c>
      <c r="L47" s="109" t="b">
        <v>0</v>
      </c>
      <c r="M47" s="109" t="b">
        <v>0</v>
      </c>
      <c r="N47" s="109" t="b">
        <v>0</v>
      </c>
      <c r="O47" s="109" t="b">
        <v>1</v>
      </c>
      <c r="P47" s="109" t="b">
        <v>1</v>
      </c>
      <c r="Q47" s="109" t="b">
        <v>0</v>
      </c>
      <c r="R47" s="109" t="b">
        <v>1</v>
      </c>
      <c r="S47" s="109" t="b">
        <v>1</v>
      </c>
      <c r="T47" s="109" t="b">
        <v>0</v>
      </c>
      <c r="U47" s="109" t="b">
        <v>1</v>
      </c>
      <c r="V47" s="109" t="b">
        <v>0</v>
      </c>
      <c r="W47" s="109" t="b">
        <v>1</v>
      </c>
      <c r="X47" s="109" t="b">
        <v>1</v>
      </c>
      <c r="Y47" s="109" t="b">
        <v>1</v>
      </c>
      <c r="Z47" s="109" t="b">
        <v>0</v>
      </c>
      <c r="AA47" s="109" t="b">
        <v>1</v>
      </c>
      <c r="AB47" s="109" t="b">
        <v>1</v>
      </c>
      <c r="AC47" s="109" t="b">
        <v>0</v>
      </c>
      <c r="AD47" s="109" t="b">
        <v>1</v>
      </c>
      <c r="AE47" s="109" t="b">
        <v>1</v>
      </c>
      <c r="AF47" s="109" t="b">
        <v>1</v>
      </c>
      <c r="AG47" s="109" t="b">
        <v>1</v>
      </c>
      <c r="AH47" s="109" t="b">
        <v>1</v>
      </c>
      <c r="AI47" s="109" t="b">
        <v>0</v>
      </c>
      <c r="AJ47" s="109" t="b">
        <v>1</v>
      </c>
      <c r="AK47" s="109" t="b">
        <v>1</v>
      </c>
      <c r="AL47" s="109" t="b">
        <v>1</v>
      </c>
      <c r="AM47" s="109" t="b">
        <v>0</v>
      </c>
      <c r="AN47" s="109" t="b">
        <v>1</v>
      </c>
      <c r="AO47" s="109" t="b">
        <v>1</v>
      </c>
      <c r="AP47" s="109" t="b">
        <v>1</v>
      </c>
      <c r="AQ47" s="109" t="b">
        <v>1</v>
      </c>
      <c r="AR47" s="109" t="b">
        <v>1</v>
      </c>
      <c r="AS47" s="109" t="b">
        <v>1</v>
      </c>
      <c r="AT47" s="109" t="b">
        <v>1</v>
      </c>
      <c r="AU47" s="109" t="b">
        <v>1</v>
      </c>
      <c r="AV47" s="109" t="b">
        <v>1</v>
      </c>
      <c r="AW47" s="109" t="b">
        <v>1</v>
      </c>
      <c r="AX47" s="109" t="b">
        <v>1</v>
      </c>
      <c r="AY47" s="109" t="b">
        <v>1</v>
      </c>
      <c r="AZ47" s="109" t="b">
        <v>1</v>
      </c>
      <c r="BA47" s="109" t="b">
        <v>1</v>
      </c>
      <c r="BB47" s="109" t="b">
        <v>1</v>
      </c>
      <c r="BC47" s="109" t="b">
        <v>0</v>
      </c>
      <c r="BD47" s="109" t="b">
        <v>1</v>
      </c>
      <c r="BE47" s="109" t="b">
        <v>0</v>
      </c>
      <c r="BF47" s="109" t="b">
        <v>1</v>
      </c>
      <c r="BG47" s="109" t="b">
        <v>1</v>
      </c>
      <c r="BH47" s="109" t="b">
        <v>1</v>
      </c>
      <c r="BI47" s="109" t="b">
        <v>1</v>
      </c>
      <c r="BJ47" s="109" t="b">
        <v>1</v>
      </c>
      <c r="BK47" s="109" t="b">
        <v>0</v>
      </c>
      <c r="BL47" s="109" t="b">
        <v>1</v>
      </c>
      <c r="BM47" s="109" t="b">
        <v>1</v>
      </c>
      <c r="BN47" s="109" t="b">
        <v>1</v>
      </c>
      <c r="BO47" s="109" t="b">
        <v>1</v>
      </c>
      <c r="BP47" s="109" t="b">
        <v>1</v>
      </c>
      <c r="BQ47" s="109" t="b">
        <v>1</v>
      </c>
      <c r="BR47" s="109" t="b">
        <v>1</v>
      </c>
      <c r="BS47" s="109" t="b">
        <v>1</v>
      </c>
      <c r="BT47" s="109" t="b">
        <v>1</v>
      </c>
      <c r="BU47" s="109" t="b">
        <v>0</v>
      </c>
      <c r="BV47" s="109" t="b">
        <v>0</v>
      </c>
      <c r="BW47" s="109" t="b">
        <v>0</v>
      </c>
      <c r="BX47" s="109" t="b">
        <v>0</v>
      </c>
      <c r="BY47" s="109" t="b">
        <v>0</v>
      </c>
      <c r="BZ47" s="109" t="b">
        <v>0</v>
      </c>
      <c r="CA47" s="109" t="b">
        <v>0</v>
      </c>
      <c r="CB47" s="109" t="b">
        <v>0</v>
      </c>
      <c r="CC47" s="109" t="b">
        <v>0</v>
      </c>
      <c r="CD47" s="109" t="b">
        <v>0</v>
      </c>
      <c r="CE47" s="109" t="b">
        <v>0</v>
      </c>
      <c r="CF47" s="109" t="b">
        <v>0</v>
      </c>
      <c r="CG47" s="109" t="b">
        <v>0</v>
      </c>
      <c r="CH47" s="109" t="b">
        <v>0</v>
      </c>
      <c r="CI47" s="109" t="b">
        <v>0</v>
      </c>
      <c r="CJ47" s="109" t="b">
        <v>0</v>
      </c>
      <c r="CK47" s="109" t="b">
        <v>0</v>
      </c>
      <c r="CL47" s="109" t="b">
        <v>0</v>
      </c>
      <c r="CM47" s="109" t="b">
        <v>0</v>
      </c>
      <c r="CN47" s="109" t="b">
        <v>0</v>
      </c>
    </row>
    <row r="48">
      <c r="A48" s="109" t="s">
        <v>1063</v>
      </c>
      <c r="B48" s="109">
        <v>9.95835715E9</v>
      </c>
      <c r="C48" s="109" t="s">
        <v>15</v>
      </c>
      <c r="D48" s="109" t="s">
        <v>571</v>
      </c>
      <c r="F48" s="109" t="b">
        <v>0</v>
      </c>
      <c r="G48" s="109" t="b">
        <v>0</v>
      </c>
      <c r="H48" s="109" t="b">
        <v>0</v>
      </c>
      <c r="I48" s="109" t="b">
        <v>0</v>
      </c>
      <c r="J48" s="109" t="b">
        <v>1</v>
      </c>
      <c r="K48" s="109" t="b">
        <v>0</v>
      </c>
      <c r="L48" s="109" t="b">
        <v>0</v>
      </c>
      <c r="M48" s="109" t="b">
        <v>0</v>
      </c>
      <c r="N48" s="109" t="b">
        <v>0</v>
      </c>
      <c r="O48" s="109" t="b">
        <v>0</v>
      </c>
      <c r="P48" s="109" t="b">
        <v>0</v>
      </c>
      <c r="Q48" s="109" t="b">
        <v>0</v>
      </c>
      <c r="R48" s="109" t="b">
        <v>0</v>
      </c>
      <c r="S48" s="109" t="b">
        <v>0</v>
      </c>
      <c r="T48" s="109" t="b">
        <v>0</v>
      </c>
      <c r="U48" s="109" t="b">
        <v>0</v>
      </c>
      <c r="V48" s="109" t="b">
        <v>0</v>
      </c>
      <c r="W48" s="109" t="b">
        <v>0</v>
      </c>
      <c r="X48" s="109" t="b">
        <v>0</v>
      </c>
      <c r="Y48" s="109" t="b">
        <v>0</v>
      </c>
      <c r="Z48" s="109" t="b">
        <v>0</v>
      </c>
      <c r="AA48" s="109" t="b">
        <v>0</v>
      </c>
      <c r="AB48" s="109" t="b">
        <v>0</v>
      </c>
      <c r="AC48" s="109" t="b">
        <v>0</v>
      </c>
      <c r="AD48" s="109" t="b">
        <v>1</v>
      </c>
      <c r="AE48" s="109" t="b">
        <v>0</v>
      </c>
      <c r="AF48" s="109" t="b">
        <v>0</v>
      </c>
      <c r="AG48" s="109" t="b">
        <v>0</v>
      </c>
      <c r="AH48" s="109" t="b">
        <v>0</v>
      </c>
      <c r="AI48" s="109" t="b">
        <v>0</v>
      </c>
      <c r="AJ48" s="109" t="b">
        <v>1</v>
      </c>
      <c r="AK48" s="109" t="b">
        <v>0</v>
      </c>
      <c r="AL48" s="109" t="b">
        <v>0</v>
      </c>
      <c r="AM48" s="109" t="b">
        <v>0</v>
      </c>
      <c r="AN48" s="109" t="b">
        <v>0</v>
      </c>
      <c r="AO48" s="109" t="b">
        <v>0</v>
      </c>
      <c r="AP48" s="109" t="b">
        <v>1</v>
      </c>
      <c r="AQ48" s="109" t="b">
        <v>0</v>
      </c>
      <c r="AR48" s="109" t="b">
        <v>1</v>
      </c>
      <c r="AS48" s="109" t="b">
        <v>1</v>
      </c>
      <c r="AT48" s="109" t="b">
        <v>0</v>
      </c>
      <c r="AU48" s="109" t="b">
        <v>1</v>
      </c>
      <c r="AV48" s="109" t="b">
        <v>1</v>
      </c>
      <c r="AW48" s="109" t="b">
        <v>0</v>
      </c>
      <c r="AX48" s="109" t="b">
        <v>1</v>
      </c>
      <c r="AY48" s="109" t="b">
        <v>1</v>
      </c>
      <c r="AZ48" s="109" t="b">
        <v>1</v>
      </c>
      <c r="BA48" s="109" t="b">
        <v>0</v>
      </c>
      <c r="BB48" s="109" t="b">
        <v>0</v>
      </c>
      <c r="BC48" s="109" t="b">
        <v>1</v>
      </c>
      <c r="BD48" s="109" t="b">
        <v>0</v>
      </c>
      <c r="BE48" s="109" t="b">
        <v>1</v>
      </c>
      <c r="BF48" s="109" t="b">
        <v>1</v>
      </c>
      <c r="BG48" s="109" t="b">
        <v>1</v>
      </c>
      <c r="BH48" s="109" t="b">
        <v>1</v>
      </c>
      <c r="BI48" s="109" t="b">
        <v>1</v>
      </c>
      <c r="BJ48" s="109" t="b">
        <v>1</v>
      </c>
      <c r="BK48" s="109" t="b">
        <v>0</v>
      </c>
      <c r="BL48" s="109" t="b">
        <v>0</v>
      </c>
      <c r="BM48" s="109" t="b">
        <v>0</v>
      </c>
      <c r="BN48" s="109" t="b">
        <v>1</v>
      </c>
      <c r="BO48" s="109" t="b">
        <v>1</v>
      </c>
      <c r="BP48" s="109" t="b">
        <v>1</v>
      </c>
      <c r="BQ48" s="109" t="b">
        <v>1</v>
      </c>
      <c r="BR48" s="109" t="b">
        <v>1</v>
      </c>
      <c r="BS48" s="109" t="b">
        <v>0</v>
      </c>
      <c r="BT48" s="109" t="b">
        <v>1</v>
      </c>
      <c r="BU48" s="109" t="b">
        <v>0</v>
      </c>
      <c r="BV48" s="109" t="b">
        <v>1</v>
      </c>
      <c r="BW48" s="109" t="b">
        <v>1</v>
      </c>
      <c r="BX48" s="109" t="b">
        <v>1</v>
      </c>
      <c r="BY48" s="109" t="b">
        <v>0</v>
      </c>
      <c r="BZ48" s="109" t="b">
        <v>1</v>
      </c>
      <c r="CA48" s="109" t="b">
        <v>1</v>
      </c>
      <c r="CB48" s="109" t="b">
        <v>1</v>
      </c>
      <c r="CC48" s="109" t="b">
        <v>0</v>
      </c>
      <c r="CD48" s="109" t="b">
        <v>0</v>
      </c>
      <c r="CE48" s="109" t="b">
        <v>0</v>
      </c>
      <c r="CF48" s="109" t="b">
        <v>1</v>
      </c>
      <c r="CG48" s="109" t="b">
        <v>1</v>
      </c>
      <c r="CH48" s="109" t="b">
        <v>0</v>
      </c>
      <c r="CI48" s="109" t="b">
        <v>1</v>
      </c>
      <c r="CJ48" s="109" t="b">
        <v>1</v>
      </c>
      <c r="CK48" s="109" t="b">
        <v>0</v>
      </c>
      <c r="CL48" s="109" t="b">
        <v>1</v>
      </c>
      <c r="CM48" s="109" t="b">
        <v>1</v>
      </c>
      <c r="CN48" s="109" t="b">
        <v>1</v>
      </c>
    </row>
    <row r="49">
      <c r="A49" s="109" t="s">
        <v>1064</v>
      </c>
      <c r="B49" s="109">
        <v>7.535926222E9</v>
      </c>
      <c r="C49" s="109" t="s">
        <v>1065</v>
      </c>
      <c r="D49" s="109" t="s">
        <v>571</v>
      </c>
      <c r="F49" s="109" t="b">
        <v>0</v>
      </c>
      <c r="G49" s="109" t="b">
        <v>0</v>
      </c>
      <c r="H49" s="109" t="b">
        <v>0</v>
      </c>
      <c r="I49" s="109" t="b">
        <v>0</v>
      </c>
      <c r="J49" s="109" t="b">
        <v>0</v>
      </c>
      <c r="K49" s="109" t="b">
        <v>1</v>
      </c>
      <c r="L49" s="109" t="b">
        <v>1</v>
      </c>
      <c r="M49" s="109" t="b">
        <v>1</v>
      </c>
      <c r="N49" s="109" t="b">
        <v>0</v>
      </c>
      <c r="O49" s="109" t="b">
        <v>0</v>
      </c>
      <c r="P49" s="109" t="b">
        <v>0</v>
      </c>
      <c r="Q49" s="109" t="b">
        <v>0</v>
      </c>
      <c r="R49" s="109" t="b">
        <v>0</v>
      </c>
      <c r="S49" s="109" t="b">
        <v>0</v>
      </c>
      <c r="T49" s="109" t="b">
        <v>0</v>
      </c>
      <c r="U49" s="109" t="b">
        <v>1</v>
      </c>
      <c r="V49" s="109" t="b">
        <v>1</v>
      </c>
      <c r="W49" s="109" t="b">
        <v>0</v>
      </c>
      <c r="X49" s="109" t="b">
        <v>1</v>
      </c>
      <c r="Y49" s="109" t="b">
        <v>1</v>
      </c>
      <c r="Z49" s="109" t="b">
        <v>1</v>
      </c>
      <c r="AA49" s="109" t="b">
        <v>0</v>
      </c>
      <c r="AB49" s="109" t="b">
        <v>0</v>
      </c>
      <c r="AC49" s="109" t="b">
        <v>1</v>
      </c>
      <c r="AD49" s="109" t="b">
        <v>1</v>
      </c>
      <c r="AE49" s="109" t="b">
        <v>1</v>
      </c>
      <c r="AF49" s="109" t="b">
        <v>1</v>
      </c>
      <c r="AG49" s="109" t="b">
        <v>0</v>
      </c>
      <c r="AH49" s="109" t="b">
        <v>0</v>
      </c>
      <c r="AI49" s="109" t="b">
        <v>1</v>
      </c>
      <c r="AJ49" s="109" t="b">
        <v>1</v>
      </c>
      <c r="AK49" s="109" t="b">
        <v>1</v>
      </c>
      <c r="AL49" s="109" t="b">
        <v>1</v>
      </c>
      <c r="AM49" s="109" t="b">
        <v>1</v>
      </c>
      <c r="AN49" s="109" t="b">
        <v>0</v>
      </c>
      <c r="AO49" s="109" t="b">
        <v>1</v>
      </c>
      <c r="AP49" s="109" t="b">
        <v>1</v>
      </c>
      <c r="AQ49" s="109" t="b">
        <v>0</v>
      </c>
      <c r="AR49" s="109" t="b">
        <v>1</v>
      </c>
      <c r="AS49" s="109" t="b">
        <v>0</v>
      </c>
      <c r="AT49" s="109" t="b">
        <v>1</v>
      </c>
      <c r="AU49" s="109" t="b">
        <v>1</v>
      </c>
      <c r="AV49" s="109" t="b">
        <v>1</v>
      </c>
      <c r="AW49" s="109" t="b">
        <v>1</v>
      </c>
      <c r="AX49" s="109" t="b">
        <v>1</v>
      </c>
      <c r="AY49" s="109" t="b">
        <v>1</v>
      </c>
      <c r="AZ49" s="109" t="b">
        <v>1</v>
      </c>
      <c r="BA49" s="109" t="b">
        <v>1</v>
      </c>
      <c r="BB49" s="109" t="b">
        <v>1</v>
      </c>
      <c r="BC49" s="109" t="b">
        <v>1</v>
      </c>
      <c r="BD49" s="109" t="b">
        <v>1</v>
      </c>
      <c r="BE49" s="109" t="b">
        <v>1</v>
      </c>
      <c r="BF49" s="109" t="b">
        <v>1</v>
      </c>
      <c r="BG49" s="109" t="b">
        <v>1</v>
      </c>
      <c r="BH49" s="109" t="b">
        <v>1</v>
      </c>
      <c r="BI49" s="109" t="b">
        <v>1</v>
      </c>
      <c r="BJ49" s="109" t="b">
        <v>1</v>
      </c>
      <c r="BK49" s="109" t="b">
        <v>1</v>
      </c>
      <c r="BL49" s="109" t="b">
        <v>1</v>
      </c>
      <c r="BM49" s="109" t="b">
        <v>1</v>
      </c>
      <c r="BN49" s="109" t="b">
        <v>1</v>
      </c>
      <c r="BO49" s="109" t="b">
        <v>1</v>
      </c>
      <c r="BP49" s="109" t="b">
        <v>0</v>
      </c>
      <c r="BQ49" s="109" t="b">
        <v>1</v>
      </c>
      <c r="BR49" s="109" t="b">
        <v>1</v>
      </c>
      <c r="BS49" s="109" t="b">
        <v>0</v>
      </c>
      <c r="BT49" s="109" t="b">
        <v>1</v>
      </c>
      <c r="BU49" s="109" t="b">
        <v>1</v>
      </c>
      <c r="BV49" s="109" t="b">
        <v>1</v>
      </c>
      <c r="BW49" s="109" t="b">
        <v>1</v>
      </c>
      <c r="BX49" s="109" t="b">
        <v>0</v>
      </c>
      <c r="BY49" s="109" t="b">
        <v>1</v>
      </c>
      <c r="BZ49" s="109" t="b">
        <v>1</v>
      </c>
      <c r="CA49" s="109" t="b">
        <v>1</v>
      </c>
      <c r="CB49" s="109" t="b">
        <v>1</v>
      </c>
      <c r="CC49" s="109" t="b">
        <v>1</v>
      </c>
      <c r="CD49" s="109" t="b">
        <v>1</v>
      </c>
      <c r="CE49" s="109" t="b">
        <v>0</v>
      </c>
      <c r="CF49" s="109" t="b">
        <v>1</v>
      </c>
      <c r="CG49" s="109" t="b">
        <v>1</v>
      </c>
      <c r="CH49" s="109" t="b">
        <v>0</v>
      </c>
      <c r="CI49" s="109" t="b">
        <v>0</v>
      </c>
      <c r="CJ49" s="109" t="b">
        <v>1</v>
      </c>
      <c r="CK49" s="109" t="b">
        <v>1</v>
      </c>
      <c r="CL49" s="109" t="b">
        <v>1</v>
      </c>
      <c r="CM49" s="109" t="b">
        <v>1</v>
      </c>
      <c r="CN49" s="109" t="b">
        <v>1</v>
      </c>
    </row>
    <row r="50">
      <c r="A50" s="109" t="s">
        <v>1066</v>
      </c>
      <c r="B50" s="109">
        <v>7.417886491E9</v>
      </c>
      <c r="C50" s="117" t="s">
        <v>1067</v>
      </c>
      <c r="D50" s="109" t="s">
        <v>571</v>
      </c>
      <c r="F50" s="109" t="b">
        <v>1</v>
      </c>
      <c r="G50" s="109" t="b">
        <v>1</v>
      </c>
      <c r="H50" s="109" t="b">
        <v>1</v>
      </c>
      <c r="I50" s="109" t="b">
        <v>1</v>
      </c>
      <c r="J50" s="109" t="b">
        <v>1</v>
      </c>
      <c r="K50" s="109" t="b">
        <v>0</v>
      </c>
      <c r="L50" s="109" t="b">
        <v>0</v>
      </c>
      <c r="M50" s="109" t="b">
        <v>0</v>
      </c>
      <c r="N50" s="109" t="b">
        <v>1</v>
      </c>
      <c r="O50" s="109" t="b">
        <v>1</v>
      </c>
      <c r="P50" s="109" t="b">
        <v>1</v>
      </c>
      <c r="Q50" s="109" t="b">
        <v>1</v>
      </c>
      <c r="R50" s="109" t="b">
        <v>0</v>
      </c>
      <c r="S50" s="109" t="b">
        <v>0</v>
      </c>
      <c r="T50" s="109" t="b">
        <v>0</v>
      </c>
      <c r="U50" s="109" t="b">
        <v>1</v>
      </c>
      <c r="V50" s="109" t="b">
        <v>1</v>
      </c>
      <c r="W50" s="109" t="b">
        <v>1</v>
      </c>
      <c r="X50" s="109" t="b">
        <v>1</v>
      </c>
      <c r="Y50" s="109" t="b">
        <v>1</v>
      </c>
      <c r="Z50" s="109" t="b">
        <v>0</v>
      </c>
      <c r="AA50" s="109" t="b">
        <v>1</v>
      </c>
      <c r="AB50" s="109" t="b">
        <v>1</v>
      </c>
      <c r="AC50" s="109" t="b">
        <v>0</v>
      </c>
      <c r="AD50" s="109" t="b">
        <v>1</v>
      </c>
      <c r="AE50" s="109" t="b">
        <v>1</v>
      </c>
      <c r="AF50" s="109" t="b">
        <v>1</v>
      </c>
      <c r="AG50" s="109" t="b">
        <v>0</v>
      </c>
      <c r="AH50" s="109" t="b">
        <v>0</v>
      </c>
      <c r="AI50" s="109" t="b">
        <v>1</v>
      </c>
      <c r="AJ50" s="109" t="b">
        <v>1</v>
      </c>
      <c r="AK50" s="109" t="b">
        <v>1</v>
      </c>
      <c r="AL50" s="109" t="b">
        <v>1</v>
      </c>
      <c r="AM50" s="109" t="b">
        <v>1</v>
      </c>
      <c r="AN50" s="109" t="b">
        <v>1</v>
      </c>
      <c r="AO50" s="109" t="b">
        <v>1</v>
      </c>
      <c r="AP50" s="109" t="b">
        <v>1</v>
      </c>
      <c r="AQ50" s="109" t="b">
        <v>1</v>
      </c>
      <c r="AR50" s="109" t="b">
        <v>1</v>
      </c>
      <c r="AS50" s="109" t="b">
        <v>1</v>
      </c>
      <c r="AT50" s="109" t="b">
        <v>1</v>
      </c>
      <c r="AU50" s="109" t="b">
        <v>1</v>
      </c>
      <c r="AV50" s="109" t="b">
        <v>1</v>
      </c>
      <c r="AW50" s="109" t="b">
        <v>1</v>
      </c>
      <c r="AX50" s="109" t="b">
        <v>1</v>
      </c>
      <c r="AY50" s="109" t="b">
        <v>1</v>
      </c>
      <c r="AZ50" s="109" t="b">
        <v>1</v>
      </c>
      <c r="BA50" s="109" t="b">
        <v>1</v>
      </c>
      <c r="BB50" s="109" t="b">
        <v>1</v>
      </c>
      <c r="BC50" s="109" t="b">
        <v>1</v>
      </c>
      <c r="BD50" s="109" t="b">
        <v>1</v>
      </c>
      <c r="BE50" s="109" t="b">
        <v>1</v>
      </c>
      <c r="BF50" s="109" t="b">
        <v>1</v>
      </c>
      <c r="BG50" s="109" t="b">
        <v>1</v>
      </c>
      <c r="BH50" s="109" t="b">
        <v>1</v>
      </c>
      <c r="BI50" s="109" t="b">
        <v>1</v>
      </c>
      <c r="BJ50" s="109" t="b">
        <v>1</v>
      </c>
      <c r="BK50" s="109" t="b">
        <v>0</v>
      </c>
      <c r="BL50" s="109" t="b">
        <v>1</v>
      </c>
      <c r="BM50" s="109" t="b">
        <v>1</v>
      </c>
      <c r="BN50" s="109" t="b">
        <v>1</v>
      </c>
      <c r="BO50" s="109" t="b">
        <v>1</v>
      </c>
      <c r="BP50" s="109" t="b">
        <v>1</v>
      </c>
      <c r="BQ50" s="109" t="b">
        <v>1</v>
      </c>
      <c r="BR50" s="109" t="b">
        <v>1</v>
      </c>
      <c r="BS50" s="109" t="b">
        <v>1</v>
      </c>
      <c r="BT50" s="109" t="b">
        <v>1</v>
      </c>
      <c r="BU50" s="109" t="b">
        <v>1</v>
      </c>
      <c r="BV50" s="109" t="b">
        <v>1</v>
      </c>
      <c r="BW50" s="109" t="b">
        <v>1</v>
      </c>
      <c r="BX50" s="109" t="b">
        <v>1</v>
      </c>
      <c r="BY50" s="109" t="b">
        <v>1</v>
      </c>
      <c r="BZ50" s="109" t="b">
        <v>1</v>
      </c>
      <c r="CA50" s="109" t="b">
        <v>1</v>
      </c>
      <c r="CB50" s="109" t="b">
        <v>1</v>
      </c>
      <c r="CC50" s="109" t="b">
        <v>1</v>
      </c>
      <c r="CD50" s="109" t="b">
        <v>0</v>
      </c>
      <c r="CE50" s="109" t="b">
        <v>0</v>
      </c>
      <c r="CF50" s="109" t="b">
        <v>1</v>
      </c>
      <c r="CG50" s="109" t="b">
        <v>1</v>
      </c>
      <c r="CH50" s="109" t="b">
        <v>1</v>
      </c>
      <c r="CI50" s="109" t="b">
        <v>1</v>
      </c>
      <c r="CJ50" s="109" t="b">
        <v>1</v>
      </c>
      <c r="CK50" s="109" t="b">
        <v>1</v>
      </c>
      <c r="CL50" s="109" t="b">
        <v>1</v>
      </c>
      <c r="CM50" s="109" t="b">
        <v>1</v>
      </c>
      <c r="CN50" s="109" t="b">
        <v>1</v>
      </c>
    </row>
    <row r="51">
      <c r="A51" s="109" t="s">
        <v>1068</v>
      </c>
      <c r="B51" s="109">
        <v>8.006314642E9</v>
      </c>
      <c r="C51" s="109" t="s">
        <v>1069</v>
      </c>
      <c r="D51" s="109" t="s">
        <v>571</v>
      </c>
      <c r="F51" s="109" t="b">
        <v>0</v>
      </c>
      <c r="G51" s="109" t="b">
        <v>0</v>
      </c>
      <c r="H51" s="109" t="b">
        <v>0</v>
      </c>
      <c r="I51" s="109" t="b">
        <v>0</v>
      </c>
      <c r="J51" s="109" t="b">
        <v>0</v>
      </c>
      <c r="K51" s="109" t="b">
        <v>0</v>
      </c>
      <c r="L51" s="109" t="b">
        <v>0</v>
      </c>
      <c r="M51" s="109" t="b">
        <v>0</v>
      </c>
      <c r="N51" s="109" t="b">
        <v>1</v>
      </c>
      <c r="O51" s="109" t="b">
        <v>1</v>
      </c>
      <c r="P51" s="109" t="b">
        <v>1</v>
      </c>
      <c r="Q51" s="109" t="b">
        <v>1</v>
      </c>
      <c r="R51" s="109" t="b">
        <v>1</v>
      </c>
      <c r="S51" s="109" t="b">
        <v>1</v>
      </c>
      <c r="T51" s="109" t="b">
        <v>1</v>
      </c>
      <c r="U51" s="109" t="b">
        <v>0</v>
      </c>
      <c r="V51" s="109" t="b">
        <v>1</v>
      </c>
      <c r="W51" s="109" t="b">
        <v>1</v>
      </c>
      <c r="X51" s="109" t="b">
        <v>0</v>
      </c>
      <c r="Y51" s="109" t="b">
        <v>1</v>
      </c>
      <c r="Z51" s="109" t="b">
        <v>1</v>
      </c>
      <c r="AA51" s="109" t="b">
        <v>0</v>
      </c>
      <c r="AB51" s="109" t="b">
        <v>0</v>
      </c>
      <c r="AC51" s="109" t="b">
        <v>1</v>
      </c>
      <c r="AD51" s="109" t="b">
        <v>1</v>
      </c>
      <c r="AE51" s="109" t="b">
        <v>0</v>
      </c>
      <c r="AF51" s="109" t="b">
        <v>1</v>
      </c>
      <c r="AG51" s="109" t="b">
        <v>1</v>
      </c>
      <c r="AH51" s="109" t="b">
        <v>1</v>
      </c>
      <c r="AI51" s="109" t="b">
        <v>1</v>
      </c>
      <c r="AJ51" s="109" t="b">
        <v>1</v>
      </c>
      <c r="AK51" s="109" t="b">
        <v>1</v>
      </c>
      <c r="AL51" s="109" t="b">
        <v>1</v>
      </c>
      <c r="AM51" s="109" t="b">
        <v>1</v>
      </c>
      <c r="AN51" s="109" t="b">
        <v>1</v>
      </c>
      <c r="AO51" s="109" t="b">
        <v>0</v>
      </c>
      <c r="AP51" s="109" t="b">
        <v>1</v>
      </c>
      <c r="AQ51" s="109" t="b">
        <v>1</v>
      </c>
      <c r="AR51" s="109" t="b">
        <v>1</v>
      </c>
      <c r="AS51" s="109" t="b">
        <v>1</v>
      </c>
      <c r="AT51" s="109" t="b">
        <v>1</v>
      </c>
      <c r="AU51" s="109" t="b">
        <v>1</v>
      </c>
      <c r="AV51" s="109" t="b">
        <v>1</v>
      </c>
      <c r="AW51" s="109" t="b">
        <v>1</v>
      </c>
      <c r="AX51" s="109" t="b">
        <v>1</v>
      </c>
      <c r="AY51" s="109" t="b">
        <v>1</v>
      </c>
      <c r="AZ51" s="109" t="b">
        <v>1</v>
      </c>
      <c r="BA51" s="109" t="b">
        <v>1</v>
      </c>
      <c r="BB51" s="109" t="b">
        <v>1</v>
      </c>
      <c r="BC51" s="109" t="b">
        <v>1</v>
      </c>
      <c r="BD51" s="109" t="b">
        <v>1</v>
      </c>
      <c r="BE51" s="109" t="b">
        <v>1</v>
      </c>
      <c r="BF51" s="109" t="b">
        <v>1</v>
      </c>
      <c r="BG51" s="109" t="b">
        <v>1</v>
      </c>
      <c r="BH51" s="109" t="b">
        <v>1</v>
      </c>
      <c r="BI51" s="109" t="b">
        <v>1</v>
      </c>
      <c r="BJ51" s="109" t="b">
        <v>1</v>
      </c>
      <c r="BK51" s="109" t="b">
        <v>0</v>
      </c>
      <c r="BL51" s="109" t="b">
        <v>1</v>
      </c>
      <c r="BM51" s="109" t="b">
        <v>1</v>
      </c>
      <c r="BN51" s="109" t="b">
        <v>1</v>
      </c>
      <c r="BO51" s="109" t="b">
        <v>1</v>
      </c>
      <c r="BP51" s="109" t="b">
        <v>1</v>
      </c>
      <c r="BQ51" s="109" t="b">
        <v>1</v>
      </c>
      <c r="BR51" s="109" t="b">
        <v>1</v>
      </c>
      <c r="BS51" s="109" t="b">
        <v>1</v>
      </c>
      <c r="BT51" s="109" t="b">
        <v>1</v>
      </c>
      <c r="BU51" s="109" t="b">
        <v>1</v>
      </c>
      <c r="BV51" s="109" t="b">
        <v>1</v>
      </c>
      <c r="BW51" s="109" t="b">
        <v>0</v>
      </c>
      <c r="BX51" s="109" t="b">
        <v>0</v>
      </c>
      <c r="BY51" s="109" t="b">
        <v>1</v>
      </c>
      <c r="BZ51" s="109" t="b">
        <v>1</v>
      </c>
      <c r="CA51" s="109" t="b">
        <v>1</v>
      </c>
      <c r="CB51" s="109" t="b">
        <v>1</v>
      </c>
      <c r="CC51" s="109" t="b">
        <v>1</v>
      </c>
      <c r="CD51" s="109" t="b">
        <v>1</v>
      </c>
      <c r="CE51" s="109" t="b">
        <v>1</v>
      </c>
      <c r="CF51" s="109" t="b">
        <v>1</v>
      </c>
      <c r="CG51" s="109" t="b">
        <v>0</v>
      </c>
      <c r="CH51" s="109" t="b">
        <v>1</v>
      </c>
      <c r="CI51" s="109" t="b">
        <v>1</v>
      </c>
      <c r="CJ51" s="109" t="b">
        <v>0</v>
      </c>
      <c r="CK51" s="109" t="b">
        <v>1</v>
      </c>
      <c r="CL51" s="109" t="b">
        <v>1</v>
      </c>
      <c r="CM51" s="109" t="b">
        <v>1</v>
      </c>
      <c r="CN51" s="109" t="b">
        <v>1</v>
      </c>
    </row>
    <row r="52">
      <c r="A52" s="109" t="s">
        <v>1070</v>
      </c>
      <c r="B52" s="109">
        <v>8.423221159E9</v>
      </c>
      <c r="C52" s="109" t="s">
        <v>1071</v>
      </c>
      <c r="D52" s="109" t="s">
        <v>571</v>
      </c>
      <c r="F52" s="109" t="b">
        <v>0</v>
      </c>
      <c r="G52" s="109" t="b">
        <v>0</v>
      </c>
      <c r="H52" s="109" t="b">
        <v>0</v>
      </c>
      <c r="I52" s="109" t="b">
        <v>0</v>
      </c>
      <c r="J52" s="109" t="b">
        <v>0</v>
      </c>
      <c r="K52" s="109" t="b">
        <v>0</v>
      </c>
      <c r="L52" s="109" t="b">
        <v>0</v>
      </c>
      <c r="M52" s="109" t="b">
        <v>0</v>
      </c>
      <c r="N52" s="109" t="b">
        <v>0</v>
      </c>
      <c r="O52" s="109" t="b">
        <v>0</v>
      </c>
      <c r="P52" s="109" t="b">
        <v>0</v>
      </c>
      <c r="Q52" s="109" t="b">
        <v>0</v>
      </c>
      <c r="R52" s="109" t="b">
        <v>0</v>
      </c>
      <c r="S52" s="109" t="b">
        <v>0</v>
      </c>
      <c r="T52" s="109" t="b">
        <v>0</v>
      </c>
      <c r="U52" s="109" t="b">
        <v>0</v>
      </c>
      <c r="V52" s="109" t="b">
        <v>0</v>
      </c>
      <c r="W52" s="109" t="b">
        <v>0</v>
      </c>
      <c r="X52" s="109" t="b">
        <v>0</v>
      </c>
      <c r="Y52" s="109" t="b">
        <v>0</v>
      </c>
      <c r="Z52" s="109" t="b">
        <v>0</v>
      </c>
      <c r="AA52" s="109" t="b">
        <v>0</v>
      </c>
      <c r="AB52" s="109" t="b">
        <v>0</v>
      </c>
      <c r="AC52" s="109" t="b">
        <v>0</v>
      </c>
      <c r="AD52" s="109" t="b">
        <v>0</v>
      </c>
      <c r="AE52" s="109" t="b">
        <v>0</v>
      </c>
      <c r="AF52" s="109" t="b">
        <v>0</v>
      </c>
      <c r="AG52" s="109" t="b">
        <v>0</v>
      </c>
      <c r="AH52" s="109" t="b">
        <v>0</v>
      </c>
      <c r="AI52" s="109" t="b">
        <v>0</v>
      </c>
      <c r="AJ52" s="109" t="b">
        <v>0</v>
      </c>
      <c r="AK52" s="109" t="b">
        <v>0</v>
      </c>
      <c r="AL52" s="109" t="b">
        <v>0</v>
      </c>
      <c r="AM52" s="109" t="b">
        <v>0</v>
      </c>
      <c r="AN52" s="109" t="b">
        <v>0</v>
      </c>
      <c r="AO52" s="109" t="b">
        <v>0</v>
      </c>
      <c r="AP52" s="109" t="b">
        <v>0</v>
      </c>
      <c r="AQ52" s="109" t="b">
        <v>0</v>
      </c>
      <c r="AR52" s="109" t="b">
        <v>0</v>
      </c>
      <c r="AS52" s="109" t="b">
        <v>0</v>
      </c>
      <c r="AT52" s="109" t="b">
        <v>0</v>
      </c>
      <c r="AU52" s="109" t="b">
        <v>0</v>
      </c>
      <c r="AV52" s="109" t="b">
        <v>0</v>
      </c>
      <c r="AW52" s="109" t="b">
        <v>0</v>
      </c>
      <c r="AX52" s="109" t="b">
        <v>0</v>
      </c>
      <c r="AY52" s="109" t="b">
        <v>0</v>
      </c>
      <c r="AZ52" s="109" t="b">
        <v>0</v>
      </c>
      <c r="BA52" s="109" t="b">
        <v>1</v>
      </c>
      <c r="BB52" s="109" t="b">
        <v>0</v>
      </c>
      <c r="BC52" s="109" t="b">
        <v>0</v>
      </c>
      <c r="BD52" s="109" t="b">
        <v>0</v>
      </c>
      <c r="BE52" s="109" t="b">
        <v>0</v>
      </c>
      <c r="BF52" s="109" t="b">
        <v>0</v>
      </c>
      <c r="BG52" s="109" t="b">
        <v>0</v>
      </c>
      <c r="BH52" s="109" t="b">
        <v>0</v>
      </c>
      <c r="BI52" s="109" t="b">
        <v>0</v>
      </c>
      <c r="BJ52" s="109" t="b">
        <v>1</v>
      </c>
      <c r="BK52" s="109" t="b">
        <v>1</v>
      </c>
      <c r="BL52" s="109" t="b">
        <v>1</v>
      </c>
      <c r="BM52" s="109" t="b">
        <v>1</v>
      </c>
      <c r="BN52" s="109" t="b">
        <v>0</v>
      </c>
      <c r="BO52" s="109" t="b">
        <v>0</v>
      </c>
      <c r="BP52" s="109" t="b">
        <v>1</v>
      </c>
      <c r="BQ52" s="109" t="b">
        <v>0</v>
      </c>
      <c r="BR52" s="109" t="b">
        <v>0</v>
      </c>
      <c r="BS52" s="109" t="b">
        <v>0</v>
      </c>
      <c r="BT52" s="109" t="b">
        <v>1</v>
      </c>
      <c r="BU52" s="109" t="b">
        <v>0</v>
      </c>
      <c r="BV52" s="109" t="b">
        <v>0</v>
      </c>
      <c r="BW52" s="109" t="b">
        <v>1</v>
      </c>
      <c r="BX52" s="109" t="b">
        <v>1</v>
      </c>
      <c r="BY52" s="109" t="b">
        <v>0</v>
      </c>
      <c r="BZ52" s="109" t="b">
        <v>1</v>
      </c>
      <c r="CA52" s="109" t="b">
        <v>0</v>
      </c>
      <c r="CB52" s="109" t="b">
        <v>1</v>
      </c>
      <c r="CC52" s="109" t="b">
        <v>0</v>
      </c>
      <c r="CD52" s="109" t="b">
        <v>1</v>
      </c>
      <c r="CE52" s="109" t="b">
        <v>0</v>
      </c>
      <c r="CF52" s="109" t="b">
        <v>1</v>
      </c>
      <c r="CG52" s="109" t="b">
        <v>1</v>
      </c>
      <c r="CH52" s="109" t="b">
        <v>1</v>
      </c>
      <c r="CI52" s="109" t="b">
        <v>0</v>
      </c>
      <c r="CJ52" s="109" t="b">
        <v>1</v>
      </c>
      <c r="CK52" s="109" t="b">
        <v>1</v>
      </c>
      <c r="CL52" s="109" t="b">
        <v>0</v>
      </c>
      <c r="CM52" s="109" t="b">
        <v>0</v>
      </c>
      <c r="CN52" s="109" t="b">
        <v>1</v>
      </c>
    </row>
    <row r="53">
      <c r="A53" s="109" t="s">
        <v>1072</v>
      </c>
      <c r="B53" s="109">
        <v>6.395145758E9</v>
      </c>
      <c r="C53" s="109" t="s">
        <v>1073</v>
      </c>
      <c r="D53" s="109" t="s">
        <v>571</v>
      </c>
      <c r="F53" s="109" t="b">
        <v>0</v>
      </c>
      <c r="G53" s="109" t="b">
        <v>0</v>
      </c>
      <c r="H53" s="109" t="b">
        <v>0</v>
      </c>
      <c r="I53" s="109" t="b">
        <v>0</v>
      </c>
      <c r="J53" s="109" t="b">
        <v>0</v>
      </c>
      <c r="K53" s="109" t="b">
        <v>0</v>
      </c>
      <c r="L53" s="109" t="b">
        <v>0</v>
      </c>
      <c r="M53" s="109" t="b">
        <v>0</v>
      </c>
      <c r="N53" s="109" t="b">
        <v>0</v>
      </c>
      <c r="O53" s="109" t="b">
        <v>0</v>
      </c>
      <c r="P53" s="109" t="b">
        <v>0</v>
      </c>
      <c r="Q53" s="109" t="b">
        <v>0</v>
      </c>
      <c r="R53" s="109" t="b">
        <v>0</v>
      </c>
      <c r="S53" s="109" t="b">
        <v>0</v>
      </c>
      <c r="T53" s="109" t="b">
        <v>0</v>
      </c>
      <c r="U53" s="109" t="b">
        <v>0</v>
      </c>
      <c r="V53" s="109" t="b">
        <v>0</v>
      </c>
      <c r="W53" s="109" t="b">
        <v>0</v>
      </c>
      <c r="X53" s="109" t="b">
        <v>0</v>
      </c>
      <c r="Y53" s="109" t="b">
        <v>0</v>
      </c>
      <c r="Z53" s="109" t="b">
        <v>1</v>
      </c>
      <c r="AA53" s="109" t="b">
        <v>1</v>
      </c>
      <c r="AB53" s="109" t="b">
        <v>1</v>
      </c>
      <c r="AC53" s="109" t="b">
        <v>0</v>
      </c>
      <c r="AD53" s="109" t="b">
        <v>1</v>
      </c>
      <c r="AE53" s="109" t="b">
        <v>1</v>
      </c>
      <c r="AF53" s="109" t="b">
        <v>0</v>
      </c>
      <c r="AG53" s="109" t="b">
        <v>0</v>
      </c>
      <c r="AH53" s="109" t="b">
        <v>1</v>
      </c>
      <c r="AI53" s="109" t="b">
        <v>1</v>
      </c>
      <c r="AJ53" s="109" t="b">
        <v>0</v>
      </c>
      <c r="AK53" s="109" t="b">
        <v>0</v>
      </c>
      <c r="AL53" s="109" t="b">
        <v>1</v>
      </c>
      <c r="AM53" s="109" t="b">
        <v>1</v>
      </c>
      <c r="AN53" s="109" t="b">
        <v>1</v>
      </c>
      <c r="AO53" s="109" t="b">
        <v>1</v>
      </c>
      <c r="AP53" s="109" t="b">
        <v>1</v>
      </c>
      <c r="AQ53" s="109" t="b">
        <v>0</v>
      </c>
      <c r="AR53" s="109" t="b">
        <v>0</v>
      </c>
      <c r="AS53" s="109" t="b">
        <v>1</v>
      </c>
      <c r="AT53" s="109" t="b">
        <v>0</v>
      </c>
      <c r="AU53" s="109" t="b">
        <v>1</v>
      </c>
      <c r="AV53" s="109" t="b">
        <v>1</v>
      </c>
      <c r="AW53" s="109" t="b">
        <v>1</v>
      </c>
      <c r="AX53" s="109" t="b">
        <v>1</v>
      </c>
      <c r="AY53" s="109" t="b">
        <v>1</v>
      </c>
      <c r="AZ53" s="109" t="b">
        <v>0</v>
      </c>
      <c r="BA53" s="109" t="b">
        <v>0</v>
      </c>
      <c r="BB53" s="109" t="b">
        <v>1</v>
      </c>
      <c r="BC53" s="109" t="b">
        <v>1</v>
      </c>
      <c r="BD53" s="109" t="b">
        <v>1</v>
      </c>
      <c r="BE53" s="109" t="b">
        <v>0</v>
      </c>
      <c r="BF53" s="109" t="b">
        <v>1</v>
      </c>
      <c r="BG53" s="109" t="b">
        <v>0</v>
      </c>
      <c r="BH53" s="109" t="b">
        <v>0</v>
      </c>
      <c r="BI53" s="109" t="b">
        <v>0</v>
      </c>
      <c r="BJ53" s="109" t="b">
        <v>0</v>
      </c>
      <c r="BK53" s="109" t="b">
        <v>1</v>
      </c>
      <c r="BL53" s="109" t="b">
        <v>0</v>
      </c>
      <c r="BM53" s="109" t="b">
        <v>0</v>
      </c>
      <c r="BN53" s="109" t="b">
        <v>0</v>
      </c>
      <c r="BO53" s="109" t="b">
        <v>0</v>
      </c>
      <c r="BP53" s="109" t="b">
        <v>0</v>
      </c>
      <c r="BQ53" s="109" t="b">
        <v>1</v>
      </c>
      <c r="BR53" s="109" t="b">
        <v>0</v>
      </c>
      <c r="BS53" s="109" t="b">
        <v>0</v>
      </c>
      <c r="BT53" s="109" t="b">
        <v>0</v>
      </c>
      <c r="BU53" s="109" t="b">
        <v>1</v>
      </c>
      <c r="BV53" s="109" t="b">
        <v>1</v>
      </c>
      <c r="BW53" s="109" t="b">
        <v>0</v>
      </c>
      <c r="BX53" s="109" t="b">
        <v>1</v>
      </c>
      <c r="BY53" s="109" t="b">
        <v>1</v>
      </c>
      <c r="BZ53" s="109" t="b">
        <v>0</v>
      </c>
      <c r="CA53" s="109" t="b">
        <v>1</v>
      </c>
      <c r="CB53" s="109" t="b">
        <v>0</v>
      </c>
      <c r="CC53" s="109" t="b">
        <v>0</v>
      </c>
      <c r="CD53" s="109" t="b">
        <v>0</v>
      </c>
      <c r="CE53" s="109" t="b">
        <v>0</v>
      </c>
      <c r="CF53" s="109" t="b">
        <v>1</v>
      </c>
      <c r="CG53" s="109" t="b">
        <v>1</v>
      </c>
      <c r="CH53" s="109" t="b">
        <v>1</v>
      </c>
      <c r="CI53" s="109" t="b">
        <v>0</v>
      </c>
      <c r="CJ53" s="109" t="b">
        <v>1</v>
      </c>
      <c r="CK53" s="109" t="b">
        <v>0</v>
      </c>
      <c r="CL53" s="109" t="b">
        <v>0</v>
      </c>
      <c r="CM53" s="109" t="b">
        <v>0</v>
      </c>
      <c r="CN53" s="109" t="b">
        <v>0</v>
      </c>
    </row>
    <row r="54">
      <c r="A54" s="109" t="s">
        <v>1074</v>
      </c>
      <c r="B54" s="109">
        <v>7.542823651E9</v>
      </c>
      <c r="C54" s="109" t="s">
        <v>1075</v>
      </c>
      <c r="D54" s="109" t="s">
        <v>571</v>
      </c>
      <c r="F54" s="109" t="b">
        <v>0</v>
      </c>
      <c r="G54" s="109" t="b">
        <v>0</v>
      </c>
      <c r="H54" s="109" t="b">
        <v>0</v>
      </c>
      <c r="I54" s="109" t="b">
        <v>0</v>
      </c>
      <c r="J54" s="109" t="b">
        <v>0</v>
      </c>
      <c r="K54" s="109" t="b">
        <v>0</v>
      </c>
      <c r="L54" s="109" t="b">
        <v>0</v>
      </c>
      <c r="M54" s="109" t="b">
        <v>0</v>
      </c>
      <c r="N54" s="109" t="b">
        <v>0</v>
      </c>
      <c r="O54" s="109" t="b">
        <v>0</v>
      </c>
      <c r="P54" s="109" t="b">
        <v>0</v>
      </c>
      <c r="Q54" s="109" t="b">
        <v>0</v>
      </c>
      <c r="R54" s="109" t="b">
        <v>0</v>
      </c>
      <c r="S54" s="109" t="b">
        <v>0</v>
      </c>
      <c r="T54" s="109" t="b">
        <v>0</v>
      </c>
      <c r="U54" s="109" t="b">
        <v>0</v>
      </c>
      <c r="V54" s="109" t="b">
        <v>0</v>
      </c>
      <c r="W54" s="109" t="b">
        <v>0</v>
      </c>
      <c r="X54" s="109" t="b">
        <v>0</v>
      </c>
      <c r="Y54" s="109" t="b">
        <v>0</v>
      </c>
      <c r="Z54" s="109" t="b">
        <v>0</v>
      </c>
      <c r="AA54" s="109" t="b">
        <v>0</v>
      </c>
      <c r="AB54" s="109" t="b">
        <v>0</v>
      </c>
      <c r="AC54" s="109" t="b">
        <v>0</v>
      </c>
      <c r="AD54" s="109" t="b">
        <v>0</v>
      </c>
      <c r="AE54" s="109" t="b">
        <v>0</v>
      </c>
      <c r="AF54" s="109" t="b">
        <v>0</v>
      </c>
      <c r="AG54" s="109" t="b">
        <v>0</v>
      </c>
      <c r="AH54" s="109" t="b">
        <v>0</v>
      </c>
      <c r="AI54" s="109" t="b">
        <v>0</v>
      </c>
      <c r="AJ54" s="109" t="b">
        <v>0</v>
      </c>
      <c r="AK54" s="109" t="b">
        <v>0</v>
      </c>
      <c r="AL54" s="109" t="b">
        <v>0</v>
      </c>
      <c r="AM54" s="109" t="b">
        <v>0</v>
      </c>
      <c r="AN54" s="109" t="b">
        <v>0</v>
      </c>
      <c r="AO54" s="109" t="b">
        <v>0</v>
      </c>
      <c r="AP54" s="109" t="b">
        <v>0</v>
      </c>
      <c r="AQ54" s="109" t="b">
        <v>0</v>
      </c>
      <c r="AR54" s="109" t="b">
        <v>1</v>
      </c>
      <c r="AS54" s="109" t="b">
        <v>0</v>
      </c>
      <c r="AT54" s="109" t="b">
        <v>0</v>
      </c>
      <c r="AU54" s="109" t="b">
        <v>0</v>
      </c>
      <c r="AV54" s="109" t="b">
        <v>0</v>
      </c>
      <c r="AW54" s="109" t="b">
        <v>1</v>
      </c>
      <c r="AX54" s="109" t="b">
        <v>0</v>
      </c>
      <c r="AY54" s="109" t="b">
        <v>0</v>
      </c>
      <c r="AZ54" s="109" t="b">
        <v>0</v>
      </c>
      <c r="BA54" s="109" t="b">
        <v>0</v>
      </c>
      <c r="BB54" s="109" t="b">
        <v>0</v>
      </c>
      <c r="BC54" s="109" t="b">
        <v>0</v>
      </c>
      <c r="BD54" s="109" t="b">
        <v>0</v>
      </c>
      <c r="BE54" s="109" t="b">
        <v>0</v>
      </c>
      <c r="BF54" s="109" t="b">
        <v>0</v>
      </c>
      <c r="BG54" s="109" t="b">
        <v>0</v>
      </c>
      <c r="BH54" s="109" t="b">
        <v>0</v>
      </c>
      <c r="BI54" s="109" t="b">
        <v>0</v>
      </c>
      <c r="BJ54" s="109" t="b">
        <v>0</v>
      </c>
      <c r="BK54" s="109" t="b">
        <v>0</v>
      </c>
      <c r="BL54" s="109" t="b">
        <v>0</v>
      </c>
      <c r="BM54" s="109" t="b">
        <v>0</v>
      </c>
      <c r="BN54" s="109" t="b">
        <v>0</v>
      </c>
      <c r="BO54" s="109" t="b">
        <v>0</v>
      </c>
      <c r="BP54" s="109" t="b">
        <v>0</v>
      </c>
      <c r="BQ54" s="109" t="b">
        <v>0</v>
      </c>
      <c r="BR54" s="109" t="b">
        <v>0</v>
      </c>
      <c r="BS54" s="109" t="b">
        <v>0</v>
      </c>
      <c r="BT54" s="109" t="b">
        <v>0</v>
      </c>
      <c r="BU54" s="109" t="b">
        <v>0</v>
      </c>
      <c r="BV54" s="109" t="b">
        <v>0</v>
      </c>
      <c r="BW54" s="109" t="b">
        <v>0</v>
      </c>
      <c r="BX54" s="109" t="b">
        <v>0</v>
      </c>
      <c r="BY54" s="109" t="b">
        <v>0</v>
      </c>
      <c r="BZ54" s="109" t="b">
        <v>0</v>
      </c>
      <c r="CA54" s="109" t="b">
        <v>0</v>
      </c>
      <c r="CB54" s="109" t="b">
        <v>0</v>
      </c>
      <c r="CC54" s="109" t="b">
        <v>0</v>
      </c>
      <c r="CD54" s="109" t="b">
        <v>0</v>
      </c>
      <c r="CE54" s="109" t="b">
        <v>0</v>
      </c>
      <c r="CF54" s="109" t="b">
        <v>0</v>
      </c>
      <c r="CG54" s="109" t="b">
        <v>0</v>
      </c>
      <c r="CH54" s="109" t="b">
        <v>1</v>
      </c>
      <c r="CI54" s="109" t="b">
        <v>0</v>
      </c>
      <c r="CJ54" s="109" t="b">
        <v>0</v>
      </c>
      <c r="CK54" s="109" t="b">
        <v>0</v>
      </c>
      <c r="CL54" s="109" t="b">
        <v>0</v>
      </c>
      <c r="CM54" s="109" t="b">
        <v>0</v>
      </c>
      <c r="CN54" s="109" t="b">
        <v>1</v>
      </c>
    </row>
    <row r="55">
      <c r="A55" s="109" t="s">
        <v>1076</v>
      </c>
      <c r="B55" s="109">
        <v>9.953315121E9</v>
      </c>
      <c r="C55" s="109" t="s">
        <v>1077</v>
      </c>
      <c r="D55" s="109" t="s">
        <v>571</v>
      </c>
      <c r="F55" s="109" t="b">
        <v>0</v>
      </c>
      <c r="G55" s="109" t="b">
        <v>0</v>
      </c>
      <c r="H55" s="109" t="b">
        <v>0</v>
      </c>
      <c r="I55" s="109" t="b">
        <v>0</v>
      </c>
      <c r="J55" s="109" t="b">
        <v>0</v>
      </c>
      <c r="K55" s="109" t="b">
        <v>0</v>
      </c>
      <c r="L55" s="109" t="b">
        <v>0</v>
      </c>
      <c r="M55" s="109" t="b">
        <v>0</v>
      </c>
      <c r="N55" s="109" t="b">
        <v>0</v>
      </c>
      <c r="O55" s="109" t="b">
        <v>0</v>
      </c>
      <c r="P55" s="109" t="b">
        <v>0</v>
      </c>
      <c r="Q55" s="109" t="b">
        <v>0</v>
      </c>
      <c r="R55" s="109" t="b">
        <v>0</v>
      </c>
      <c r="S55" s="109" t="b">
        <v>0</v>
      </c>
      <c r="T55" s="109" t="b">
        <v>0</v>
      </c>
      <c r="U55" s="109" t="b">
        <v>0</v>
      </c>
      <c r="V55" s="109" t="b">
        <v>0</v>
      </c>
      <c r="W55" s="109" t="b">
        <v>0</v>
      </c>
      <c r="X55" s="109" t="b">
        <v>0</v>
      </c>
      <c r="Y55" s="109" t="b">
        <v>0</v>
      </c>
      <c r="Z55" s="109" t="b">
        <v>0</v>
      </c>
      <c r="AA55" s="109" t="b">
        <v>0</v>
      </c>
      <c r="AB55" s="109" t="b">
        <v>0</v>
      </c>
      <c r="AC55" s="109" t="b">
        <v>0</v>
      </c>
      <c r="AD55" s="109" t="b">
        <v>0</v>
      </c>
      <c r="AE55" s="109" t="b">
        <v>0</v>
      </c>
      <c r="AF55" s="109" t="b">
        <v>0</v>
      </c>
      <c r="AG55" s="109" t="b">
        <v>0</v>
      </c>
      <c r="AH55" s="109" t="b">
        <v>0</v>
      </c>
      <c r="AI55" s="109" t="b">
        <v>0</v>
      </c>
      <c r="AJ55" s="109" t="b">
        <v>0</v>
      </c>
      <c r="AK55" s="109" t="b">
        <v>0</v>
      </c>
      <c r="AL55" s="109" t="b">
        <v>0</v>
      </c>
      <c r="AM55" s="109" t="b">
        <v>0</v>
      </c>
      <c r="AN55" s="109" t="b">
        <v>0</v>
      </c>
      <c r="AO55" s="109" t="b">
        <v>0</v>
      </c>
      <c r="AP55" s="109" t="b">
        <v>0</v>
      </c>
      <c r="AQ55" s="109" t="b">
        <v>0</v>
      </c>
      <c r="AR55" s="109" t="b">
        <v>0</v>
      </c>
      <c r="AS55" s="109" t="b">
        <v>0</v>
      </c>
      <c r="AT55" s="109" t="b">
        <v>0</v>
      </c>
      <c r="AU55" s="109" t="b">
        <v>0</v>
      </c>
      <c r="AV55" s="109" t="b">
        <v>0</v>
      </c>
      <c r="AW55" s="109" t="b">
        <v>0</v>
      </c>
      <c r="AX55" s="109" t="b">
        <v>0</v>
      </c>
      <c r="AY55" s="109" t="b">
        <v>0</v>
      </c>
      <c r="AZ55" s="109" t="b">
        <v>0</v>
      </c>
      <c r="BA55" s="109" t="b">
        <v>0</v>
      </c>
      <c r="BB55" s="109" t="b">
        <v>0</v>
      </c>
      <c r="BC55" s="109" t="b">
        <v>0</v>
      </c>
      <c r="BD55" s="109" t="b">
        <v>0</v>
      </c>
      <c r="BE55" s="109" t="b">
        <v>0</v>
      </c>
      <c r="BF55" s="109" t="b">
        <v>0</v>
      </c>
      <c r="BG55" s="109" t="b">
        <v>0</v>
      </c>
      <c r="BH55" s="109" t="b">
        <v>0</v>
      </c>
      <c r="BI55" s="109" t="b">
        <v>0</v>
      </c>
      <c r="BJ55" s="109" t="b">
        <v>0</v>
      </c>
      <c r="BK55" s="109" t="b">
        <v>0</v>
      </c>
      <c r="BL55" s="109" t="b">
        <v>0</v>
      </c>
      <c r="BM55" s="109" t="b">
        <v>0</v>
      </c>
      <c r="BN55" s="109" t="b">
        <v>0</v>
      </c>
      <c r="BO55" s="109" t="b">
        <v>0</v>
      </c>
      <c r="BP55" s="109" t="b">
        <v>0</v>
      </c>
      <c r="BQ55" s="109" t="b">
        <v>0</v>
      </c>
      <c r="BR55" s="109" t="b">
        <v>0</v>
      </c>
      <c r="BS55" s="109" t="b">
        <v>0</v>
      </c>
      <c r="BT55" s="109" t="b">
        <v>1</v>
      </c>
      <c r="BU55" s="109" t="b">
        <v>0</v>
      </c>
      <c r="BV55" s="109" t="b">
        <v>0</v>
      </c>
      <c r="BW55" s="109" t="b">
        <v>0</v>
      </c>
      <c r="BX55" s="109" t="b">
        <v>0</v>
      </c>
      <c r="BY55" s="109" t="b">
        <v>0</v>
      </c>
      <c r="BZ55" s="109" t="b">
        <v>0</v>
      </c>
      <c r="CA55" s="109" t="b">
        <v>0</v>
      </c>
      <c r="CB55" s="109" t="b">
        <v>0</v>
      </c>
      <c r="CC55" s="109" t="b">
        <v>0</v>
      </c>
      <c r="CD55" s="109" t="b">
        <v>1</v>
      </c>
      <c r="CE55" s="109" t="b">
        <v>0</v>
      </c>
      <c r="CF55" s="109" t="b">
        <v>0</v>
      </c>
      <c r="CG55" s="109" t="b">
        <v>0</v>
      </c>
      <c r="CH55" s="109" t="b">
        <v>1</v>
      </c>
      <c r="CI55" s="109" t="b">
        <v>0</v>
      </c>
      <c r="CJ55" s="109" t="b">
        <v>0</v>
      </c>
      <c r="CK55" s="109" t="b">
        <v>0</v>
      </c>
      <c r="CL55" s="109" t="b">
        <v>1</v>
      </c>
      <c r="CM55" s="109" t="b">
        <v>0</v>
      </c>
      <c r="CN55" s="109" t="b">
        <v>1</v>
      </c>
    </row>
    <row r="56">
      <c r="A56" s="109" t="s">
        <v>1078</v>
      </c>
      <c r="B56" s="109">
        <v>7.669187642E9</v>
      </c>
      <c r="C56" s="109" t="s">
        <v>1079</v>
      </c>
      <c r="D56" s="109" t="s">
        <v>571</v>
      </c>
      <c r="F56" s="109" t="b">
        <v>0</v>
      </c>
      <c r="G56" s="109" t="b">
        <v>0</v>
      </c>
      <c r="H56" s="109" t="b">
        <v>0</v>
      </c>
      <c r="I56" s="109" t="b">
        <v>0</v>
      </c>
      <c r="J56" s="109" t="b">
        <v>0</v>
      </c>
      <c r="K56" s="109" t="b">
        <v>0</v>
      </c>
      <c r="L56" s="109" t="b">
        <v>0</v>
      </c>
      <c r="M56" s="109" t="b">
        <v>0</v>
      </c>
      <c r="N56" s="109" t="b">
        <v>0</v>
      </c>
      <c r="O56" s="109" t="b">
        <v>0</v>
      </c>
      <c r="P56" s="109" t="b">
        <v>0</v>
      </c>
      <c r="Q56" s="109" t="b">
        <v>0</v>
      </c>
      <c r="R56" s="109" t="b">
        <v>0</v>
      </c>
      <c r="S56" s="109" t="b">
        <v>0</v>
      </c>
      <c r="T56" s="109" t="b">
        <v>0</v>
      </c>
      <c r="U56" s="109" t="b">
        <v>0</v>
      </c>
      <c r="V56" s="109" t="b">
        <v>0</v>
      </c>
      <c r="W56" s="109" t="b">
        <v>0</v>
      </c>
      <c r="X56" s="109" t="b">
        <v>0</v>
      </c>
      <c r="Y56" s="109" t="b">
        <v>0</v>
      </c>
      <c r="Z56" s="109" t="b">
        <v>0</v>
      </c>
      <c r="AA56" s="109" t="b">
        <v>0</v>
      </c>
      <c r="AB56" s="109" t="b">
        <v>0</v>
      </c>
      <c r="AC56" s="109" t="b">
        <v>0</v>
      </c>
      <c r="AD56" s="109" t="b">
        <v>0</v>
      </c>
      <c r="AE56" s="109" t="b">
        <v>0</v>
      </c>
      <c r="AF56" s="109" t="b">
        <v>0</v>
      </c>
      <c r="AG56" s="109" t="b">
        <v>0</v>
      </c>
      <c r="AH56" s="109" t="b">
        <v>0</v>
      </c>
      <c r="AI56" s="109" t="b">
        <v>0</v>
      </c>
      <c r="AJ56" s="109" t="b">
        <v>0</v>
      </c>
      <c r="AK56" s="109" t="b">
        <v>0</v>
      </c>
      <c r="AL56" s="109" t="b">
        <v>0</v>
      </c>
      <c r="AM56" s="109" t="b">
        <v>0</v>
      </c>
      <c r="AN56" s="109" t="b">
        <v>0</v>
      </c>
      <c r="AO56" s="109" t="b">
        <v>0</v>
      </c>
      <c r="AP56" s="109" t="b">
        <v>0</v>
      </c>
      <c r="AQ56" s="109" t="b">
        <v>0</v>
      </c>
      <c r="AR56" s="109" t="b">
        <v>0</v>
      </c>
      <c r="AS56" s="109" t="b">
        <v>0</v>
      </c>
      <c r="AT56" s="109" t="b">
        <v>0</v>
      </c>
      <c r="AU56" s="109" t="b">
        <v>0</v>
      </c>
      <c r="AV56" s="109" t="b">
        <v>0</v>
      </c>
      <c r="AW56" s="109" t="b">
        <v>0</v>
      </c>
      <c r="AX56" s="109" t="b">
        <v>0</v>
      </c>
      <c r="AY56" s="109" t="b">
        <v>0</v>
      </c>
      <c r="AZ56" s="109" t="b">
        <v>0</v>
      </c>
      <c r="BA56" s="109" t="b">
        <v>0</v>
      </c>
      <c r="BB56" s="109" t="b">
        <v>0</v>
      </c>
      <c r="BC56" s="109" t="b">
        <v>0</v>
      </c>
      <c r="BD56" s="109" t="b">
        <v>0</v>
      </c>
      <c r="BE56" s="109" t="b">
        <v>0</v>
      </c>
      <c r="BF56" s="109" t="b">
        <v>0</v>
      </c>
      <c r="BG56" s="109" t="b">
        <v>0</v>
      </c>
      <c r="BH56" s="109" t="b">
        <v>0</v>
      </c>
      <c r="BI56" s="109" t="b">
        <v>0</v>
      </c>
      <c r="BJ56" s="109" t="b">
        <v>0</v>
      </c>
      <c r="BK56" s="109" t="b">
        <v>0</v>
      </c>
      <c r="BL56" s="109" t="b">
        <v>0</v>
      </c>
      <c r="BM56" s="109" t="b">
        <v>0</v>
      </c>
      <c r="BN56" s="109" t="b">
        <v>0</v>
      </c>
      <c r="BO56" s="109" t="b">
        <v>0</v>
      </c>
      <c r="BP56" s="109" t="b">
        <v>0</v>
      </c>
      <c r="BQ56" s="109" t="b">
        <v>0</v>
      </c>
      <c r="BR56" s="109" t="b">
        <v>0</v>
      </c>
      <c r="BS56" s="109" t="b">
        <v>0</v>
      </c>
      <c r="BT56" s="109" t="b">
        <v>1</v>
      </c>
      <c r="BU56" s="109" t="b">
        <v>0</v>
      </c>
      <c r="BV56" s="109" t="b">
        <v>0</v>
      </c>
      <c r="BW56" s="109" t="b">
        <v>0</v>
      </c>
      <c r="BX56" s="109" t="b">
        <v>0</v>
      </c>
      <c r="BY56" s="109" t="b">
        <v>0</v>
      </c>
      <c r="BZ56" s="109" t="b">
        <v>0</v>
      </c>
      <c r="CA56" s="109" t="b">
        <v>0</v>
      </c>
      <c r="CB56" s="109" t="b">
        <v>0</v>
      </c>
      <c r="CC56" s="109" t="b">
        <v>0</v>
      </c>
      <c r="CD56" s="109" t="b">
        <v>1</v>
      </c>
      <c r="CE56" s="109" t="b">
        <v>1</v>
      </c>
      <c r="CF56" s="109" t="b">
        <v>0</v>
      </c>
      <c r="CG56" s="109" t="b">
        <v>0</v>
      </c>
      <c r="CH56" s="109" t="b">
        <v>1</v>
      </c>
      <c r="CI56" s="109" t="b">
        <v>0</v>
      </c>
      <c r="CJ56" s="109" t="b">
        <v>0</v>
      </c>
      <c r="CK56" s="109" t="b">
        <v>0</v>
      </c>
      <c r="CL56" s="109" t="b">
        <v>1</v>
      </c>
      <c r="CM56" s="109" t="b">
        <v>1</v>
      </c>
      <c r="CN56" s="109" t="b">
        <v>1</v>
      </c>
    </row>
    <row r="57">
      <c r="A57" s="123" t="s">
        <v>1080</v>
      </c>
      <c r="B57" s="109">
        <v>6.299014684E9</v>
      </c>
      <c r="C57" s="109" t="s">
        <v>1081</v>
      </c>
      <c r="D57" s="109" t="s">
        <v>571</v>
      </c>
      <c r="F57" s="109" t="b">
        <v>0</v>
      </c>
      <c r="G57" s="109" t="b">
        <v>0</v>
      </c>
      <c r="H57" s="109" t="b">
        <v>0</v>
      </c>
      <c r="I57" s="109" t="b">
        <v>0</v>
      </c>
      <c r="J57" s="109" t="b">
        <v>0</v>
      </c>
      <c r="K57" s="109" t="b">
        <v>0</v>
      </c>
      <c r="L57" s="109" t="b">
        <v>0</v>
      </c>
      <c r="M57" s="109" t="b">
        <v>0</v>
      </c>
      <c r="N57" s="109" t="b">
        <v>0</v>
      </c>
      <c r="O57" s="109" t="b">
        <v>0</v>
      </c>
      <c r="P57" s="109" t="b">
        <v>0</v>
      </c>
      <c r="Q57" s="109" t="b">
        <v>1</v>
      </c>
      <c r="R57" s="109" t="b">
        <v>0</v>
      </c>
      <c r="S57" s="109" t="b">
        <v>0</v>
      </c>
      <c r="T57" s="109" t="b">
        <v>0</v>
      </c>
      <c r="U57" s="109" t="b">
        <v>0</v>
      </c>
      <c r="V57" s="109" t="b">
        <v>0</v>
      </c>
      <c r="W57" s="109" t="b">
        <v>0</v>
      </c>
      <c r="X57" s="109" t="b">
        <v>0</v>
      </c>
      <c r="Y57" s="109" t="b">
        <v>0</v>
      </c>
      <c r="Z57" s="109" t="b">
        <v>0</v>
      </c>
      <c r="AA57" s="109" t="b">
        <v>0</v>
      </c>
      <c r="AB57" s="109" t="b">
        <v>0</v>
      </c>
      <c r="AC57" s="109" t="b">
        <v>0</v>
      </c>
      <c r="AD57" s="109" t="b">
        <v>0</v>
      </c>
      <c r="AE57" s="109" t="b">
        <v>0</v>
      </c>
      <c r="AF57" s="109" t="b">
        <v>0</v>
      </c>
      <c r="AG57" s="109" t="b">
        <v>0</v>
      </c>
      <c r="AH57" s="109" t="b">
        <v>0</v>
      </c>
      <c r="AI57" s="109" t="b">
        <v>0</v>
      </c>
      <c r="AJ57" s="109" t="b">
        <v>0</v>
      </c>
      <c r="AK57" s="109" t="b">
        <v>0</v>
      </c>
      <c r="AL57" s="109" t="b">
        <v>0</v>
      </c>
      <c r="AM57" s="109" t="b">
        <v>0</v>
      </c>
      <c r="AN57" s="109" t="b">
        <v>0</v>
      </c>
      <c r="AO57" s="109" t="b">
        <v>0</v>
      </c>
      <c r="AP57" s="109" t="b">
        <v>0</v>
      </c>
      <c r="AQ57" s="109" t="b">
        <v>0</v>
      </c>
      <c r="AR57" s="109" t="b">
        <v>0</v>
      </c>
      <c r="AS57" s="109" t="b">
        <v>0</v>
      </c>
      <c r="AT57" s="109" t="b">
        <v>0</v>
      </c>
      <c r="AU57" s="109" t="b">
        <v>0</v>
      </c>
      <c r="AV57" s="109" t="b">
        <v>0</v>
      </c>
      <c r="AW57" s="109" t="b">
        <v>1</v>
      </c>
      <c r="AX57" s="109" t="b">
        <v>1</v>
      </c>
      <c r="AY57" s="109" t="b">
        <v>0</v>
      </c>
      <c r="AZ57" s="109" t="b">
        <v>0</v>
      </c>
      <c r="BA57" s="109" t="b">
        <v>0</v>
      </c>
      <c r="BB57" s="109" t="b">
        <v>1</v>
      </c>
      <c r="BC57" s="109" t="b">
        <v>1</v>
      </c>
      <c r="BD57" s="109" t="b">
        <v>1</v>
      </c>
      <c r="BE57" s="109" t="b">
        <v>0</v>
      </c>
      <c r="BF57" s="109" t="b">
        <v>1</v>
      </c>
      <c r="BG57" s="109" t="b">
        <v>1</v>
      </c>
      <c r="BH57" s="109" t="b">
        <v>0</v>
      </c>
      <c r="BI57" s="109" t="b">
        <v>0</v>
      </c>
      <c r="BJ57" s="109" t="b">
        <v>0</v>
      </c>
      <c r="BK57" s="109" t="b">
        <v>0</v>
      </c>
      <c r="BL57" s="109" t="b">
        <v>1</v>
      </c>
      <c r="BM57" s="109" t="b">
        <v>0</v>
      </c>
      <c r="BN57" s="109" t="b">
        <v>0</v>
      </c>
      <c r="BO57" s="109" t="b">
        <v>1</v>
      </c>
      <c r="BP57" s="109" t="b">
        <v>0</v>
      </c>
      <c r="BQ57" s="109" t="b">
        <v>1</v>
      </c>
      <c r="BR57" s="109" t="b">
        <v>1</v>
      </c>
      <c r="BS57" s="109" t="b">
        <v>1</v>
      </c>
      <c r="BT57" s="109" t="b">
        <v>1</v>
      </c>
      <c r="BU57" s="109" t="b">
        <v>1</v>
      </c>
      <c r="BV57" s="109" t="b">
        <v>1</v>
      </c>
      <c r="BW57" s="109" t="b">
        <v>1</v>
      </c>
      <c r="BX57" s="109" t="b">
        <v>1</v>
      </c>
      <c r="BY57" s="109" t="b">
        <v>1</v>
      </c>
      <c r="BZ57" s="109" t="b">
        <v>1</v>
      </c>
      <c r="CA57" s="109" t="b">
        <v>0</v>
      </c>
      <c r="CB57" s="109" t="b">
        <v>1</v>
      </c>
      <c r="CC57" s="109" t="b">
        <v>1</v>
      </c>
      <c r="CD57" s="109" t="b">
        <v>1</v>
      </c>
      <c r="CE57" s="109" t="b">
        <v>1</v>
      </c>
      <c r="CF57" s="109" t="b">
        <v>1</v>
      </c>
      <c r="CG57" s="109" t="b">
        <v>1</v>
      </c>
      <c r="CH57" s="109" t="b">
        <v>1</v>
      </c>
      <c r="CI57" s="109" t="b">
        <v>0</v>
      </c>
      <c r="CJ57" s="109" t="b">
        <v>1</v>
      </c>
      <c r="CK57" s="109" t="b">
        <v>0</v>
      </c>
      <c r="CL57" s="109" t="b">
        <v>0</v>
      </c>
      <c r="CM57" s="109" t="b">
        <v>0</v>
      </c>
      <c r="CN57" s="109" t="b">
        <v>0</v>
      </c>
    </row>
    <row r="58">
      <c r="A58" s="123" t="s">
        <v>1082</v>
      </c>
      <c r="B58" s="109">
        <v>9.528404261E9</v>
      </c>
      <c r="C58" s="109" t="s">
        <v>1083</v>
      </c>
      <c r="D58" s="109" t="s">
        <v>571</v>
      </c>
      <c r="F58" s="109" t="b">
        <v>0</v>
      </c>
      <c r="G58" s="109" t="b">
        <v>0</v>
      </c>
      <c r="H58" s="109" t="b">
        <v>0</v>
      </c>
      <c r="I58" s="109" t="b">
        <v>0</v>
      </c>
      <c r="J58" s="109" t="b">
        <v>0</v>
      </c>
      <c r="K58" s="109" t="b">
        <v>0</v>
      </c>
      <c r="L58" s="109" t="b">
        <v>0</v>
      </c>
      <c r="M58" s="109" t="b">
        <v>0</v>
      </c>
      <c r="N58" s="109" t="b">
        <v>0</v>
      </c>
      <c r="O58" s="109" t="b">
        <v>0</v>
      </c>
      <c r="P58" s="109" t="b">
        <v>0</v>
      </c>
      <c r="Q58" s="109" t="b">
        <v>0</v>
      </c>
      <c r="R58" s="109" t="b">
        <v>1</v>
      </c>
      <c r="S58" s="109" t="b">
        <v>0</v>
      </c>
      <c r="T58" s="109" t="b">
        <v>0</v>
      </c>
      <c r="U58" s="109" t="b">
        <v>0</v>
      </c>
      <c r="V58" s="109" t="b">
        <v>0</v>
      </c>
      <c r="W58" s="109" t="b">
        <v>0</v>
      </c>
      <c r="X58" s="109" t="b">
        <v>0</v>
      </c>
      <c r="Y58" s="109" t="b">
        <v>0</v>
      </c>
      <c r="Z58" s="109" t="b">
        <v>0</v>
      </c>
      <c r="AA58" s="109" t="b">
        <v>0</v>
      </c>
      <c r="AB58" s="109" t="b">
        <v>0</v>
      </c>
      <c r="AC58" s="109" t="b">
        <v>0</v>
      </c>
      <c r="AD58" s="109" t="b">
        <v>0</v>
      </c>
      <c r="AE58" s="109" t="b">
        <v>0</v>
      </c>
      <c r="AF58" s="109" t="b">
        <v>0</v>
      </c>
      <c r="AG58" s="109" t="b">
        <v>0</v>
      </c>
      <c r="AH58" s="109" t="b">
        <v>0</v>
      </c>
      <c r="AI58" s="109" t="b">
        <v>0</v>
      </c>
      <c r="AJ58" s="109" t="b">
        <v>0</v>
      </c>
      <c r="AK58" s="109" t="b">
        <v>0</v>
      </c>
      <c r="AL58" s="109" t="b">
        <v>0</v>
      </c>
      <c r="AM58" s="109" t="b">
        <v>0</v>
      </c>
      <c r="AN58" s="109" t="b">
        <v>0</v>
      </c>
      <c r="AO58" s="109" t="b">
        <v>0</v>
      </c>
      <c r="AP58" s="109" t="b">
        <v>0</v>
      </c>
      <c r="AQ58" s="109" t="b">
        <v>0</v>
      </c>
      <c r="AR58" s="109" t="b">
        <v>0</v>
      </c>
      <c r="AS58" s="109" t="b">
        <v>0</v>
      </c>
      <c r="AT58" s="109" t="b">
        <v>0</v>
      </c>
      <c r="AU58" s="109" t="b">
        <v>0</v>
      </c>
      <c r="AV58" s="109" t="b">
        <v>0</v>
      </c>
      <c r="AW58" s="109" t="b">
        <v>0</v>
      </c>
      <c r="AX58" s="109" t="b">
        <v>0</v>
      </c>
      <c r="AY58" s="109" t="b">
        <v>0</v>
      </c>
      <c r="AZ58" s="109" t="b">
        <v>0</v>
      </c>
      <c r="BA58" s="109" t="b">
        <v>0</v>
      </c>
      <c r="BB58" s="109" t="b">
        <v>0</v>
      </c>
      <c r="BC58" s="109" t="b">
        <v>0</v>
      </c>
      <c r="BD58" s="109" t="b">
        <v>0</v>
      </c>
      <c r="BE58" s="109" t="b">
        <v>0</v>
      </c>
      <c r="BF58" s="109" t="b">
        <v>0</v>
      </c>
      <c r="BG58" s="109" t="b">
        <v>0</v>
      </c>
      <c r="BH58" s="109" t="b">
        <v>0</v>
      </c>
      <c r="BI58" s="109" t="b">
        <v>0</v>
      </c>
      <c r="BJ58" s="109" t="b">
        <v>0</v>
      </c>
      <c r="BK58" s="109" t="b">
        <v>0</v>
      </c>
      <c r="BL58" s="109" t="b">
        <v>0</v>
      </c>
      <c r="BM58" s="109" t="b">
        <v>0</v>
      </c>
      <c r="BN58" s="109" t="b">
        <v>0</v>
      </c>
      <c r="BO58" s="109" t="b">
        <v>0</v>
      </c>
      <c r="BP58" s="109" t="b">
        <v>0</v>
      </c>
      <c r="BQ58" s="109" t="b">
        <v>0</v>
      </c>
      <c r="BR58" s="109" t="b">
        <v>0</v>
      </c>
      <c r="BS58" s="109" t="b">
        <v>0</v>
      </c>
      <c r="BT58" s="109" t="b">
        <v>0</v>
      </c>
      <c r="BU58" s="109" t="b">
        <v>0</v>
      </c>
      <c r="BV58" s="109" t="b">
        <v>0</v>
      </c>
      <c r="BW58" s="109" t="b">
        <v>0</v>
      </c>
      <c r="BX58" s="109" t="b">
        <v>0</v>
      </c>
      <c r="BY58" s="109" t="b">
        <v>0</v>
      </c>
      <c r="BZ58" s="109" t="b">
        <v>1</v>
      </c>
      <c r="CA58" s="109" t="b">
        <v>0</v>
      </c>
      <c r="CB58" s="109" t="b">
        <v>0</v>
      </c>
      <c r="CC58" s="109" t="b">
        <v>0</v>
      </c>
      <c r="CD58" s="109" t="b">
        <v>0</v>
      </c>
      <c r="CE58" s="109" t="b">
        <v>0</v>
      </c>
      <c r="CF58" s="109" t="b">
        <v>0</v>
      </c>
      <c r="CG58" s="109" t="b">
        <v>0</v>
      </c>
      <c r="CH58" s="109" t="b">
        <v>1</v>
      </c>
      <c r="CI58" s="109" t="b">
        <v>1</v>
      </c>
      <c r="CJ58" s="109" t="b">
        <v>1</v>
      </c>
      <c r="CK58" s="109" t="b">
        <v>0</v>
      </c>
      <c r="CL58" s="109" t="b">
        <v>0</v>
      </c>
      <c r="CM58" s="109" t="b">
        <v>0</v>
      </c>
      <c r="CN58" s="109" t="b">
        <v>0</v>
      </c>
    </row>
    <row r="59">
      <c r="A59" s="123" t="s">
        <v>1084</v>
      </c>
      <c r="B59" s="123">
        <v>7.007751101E9</v>
      </c>
      <c r="C59" s="109" t="s">
        <v>1085</v>
      </c>
      <c r="D59" s="109" t="s">
        <v>571</v>
      </c>
      <c r="F59" s="109" t="b">
        <v>1</v>
      </c>
      <c r="G59" s="109" t="b">
        <v>1</v>
      </c>
      <c r="H59" s="109" t="b">
        <v>1</v>
      </c>
      <c r="I59" s="109" t="b">
        <v>1</v>
      </c>
      <c r="J59" s="109" t="b">
        <v>1</v>
      </c>
      <c r="K59" s="109" t="b">
        <v>1</v>
      </c>
      <c r="L59" s="109" t="b">
        <v>1</v>
      </c>
      <c r="M59" s="109" t="b">
        <v>1</v>
      </c>
      <c r="N59" s="109" t="b">
        <v>1</v>
      </c>
      <c r="O59" s="109" t="b">
        <v>1</v>
      </c>
      <c r="P59" s="109" t="b">
        <v>1</v>
      </c>
      <c r="Q59" s="109" t="b">
        <v>1</v>
      </c>
      <c r="R59" s="109" t="b">
        <v>1</v>
      </c>
      <c r="S59" s="109" t="b">
        <v>1</v>
      </c>
      <c r="T59" s="109" t="b">
        <v>1</v>
      </c>
      <c r="U59" s="109" t="b">
        <v>1</v>
      </c>
      <c r="V59" s="109" t="b">
        <v>1</v>
      </c>
      <c r="W59" s="109" t="b">
        <v>1</v>
      </c>
      <c r="X59" s="109" t="b">
        <v>1</v>
      </c>
      <c r="Y59" s="109" t="b">
        <v>1</v>
      </c>
      <c r="Z59" s="109" t="b">
        <v>1</v>
      </c>
      <c r="AA59" s="109" t="b">
        <v>1</v>
      </c>
      <c r="AB59" s="109" t="b">
        <v>1</v>
      </c>
      <c r="AC59" s="109" t="b">
        <v>1</v>
      </c>
      <c r="AD59" s="109" t="b">
        <v>1</v>
      </c>
      <c r="AE59" s="109" t="b">
        <v>1</v>
      </c>
      <c r="AF59" s="109" t="b">
        <v>1</v>
      </c>
      <c r="AG59" s="109" t="b">
        <v>1</v>
      </c>
      <c r="AH59" s="109" t="b">
        <v>1</v>
      </c>
      <c r="AI59" s="109" t="b">
        <v>1</v>
      </c>
      <c r="AJ59" s="109" t="b">
        <v>1</v>
      </c>
      <c r="AK59" s="109" t="b">
        <v>1</v>
      </c>
      <c r="AL59" s="109" t="b">
        <v>1</v>
      </c>
      <c r="AM59" s="109" t="b">
        <v>1</v>
      </c>
      <c r="AN59" s="109" t="b">
        <v>1</v>
      </c>
      <c r="AO59" s="109" t="b">
        <v>1</v>
      </c>
      <c r="AP59" s="109" t="b">
        <v>1</v>
      </c>
      <c r="AQ59" s="109" t="b">
        <v>1</v>
      </c>
      <c r="AR59" s="109" t="b">
        <v>1</v>
      </c>
      <c r="AS59" s="109" t="b">
        <v>1</v>
      </c>
      <c r="AT59" s="109" t="b">
        <v>1</v>
      </c>
      <c r="AU59" s="109" t="b">
        <v>1</v>
      </c>
      <c r="AV59" s="109" t="b">
        <v>1</v>
      </c>
      <c r="AW59" s="109" t="b">
        <v>1</v>
      </c>
      <c r="AX59" s="109" t="b">
        <v>1</v>
      </c>
      <c r="AY59" s="109" t="b">
        <v>1</v>
      </c>
      <c r="AZ59" s="109" t="b">
        <v>1</v>
      </c>
      <c r="BA59" s="109" t="b">
        <v>1</v>
      </c>
      <c r="BB59" s="109" t="b">
        <v>1</v>
      </c>
      <c r="BC59" s="109" t="b">
        <v>1</v>
      </c>
      <c r="BD59" s="109" t="b">
        <v>1</v>
      </c>
      <c r="BE59" s="109" t="b">
        <v>1</v>
      </c>
      <c r="BF59" s="109" t="b">
        <v>1</v>
      </c>
      <c r="BG59" s="109" t="b">
        <v>1</v>
      </c>
      <c r="BH59" s="109" t="b">
        <v>1</v>
      </c>
      <c r="BI59" s="109" t="b">
        <v>1</v>
      </c>
      <c r="BJ59" s="109" t="b">
        <v>1</v>
      </c>
      <c r="BK59" s="109" t="b">
        <v>1</v>
      </c>
      <c r="BL59" s="109" t="b">
        <v>1</v>
      </c>
      <c r="BM59" s="109" t="b">
        <v>1</v>
      </c>
      <c r="BN59" s="109" t="b">
        <v>1</v>
      </c>
      <c r="BO59" s="109" t="b">
        <v>1</v>
      </c>
      <c r="BP59" s="109" t="b">
        <v>1</v>
      </c>
      <c r="BQ59" s="109" t="b">
        <v>1</v>
      </c>
      <c r="BR59" s="109" t="b">
        <v>1</v>
      </c>
      <c r="BS59" s="109" t="b">
        <v>1</v>
      </c>
      <c r="BT59" s="109" t="b">
        <v>1</v>
      </c>
      <c r="BU59" s="109" t="b">
        <v>1</v>
      </c>
      <c r="BV59" s="109" t="b">
        <v>1</v>
      </c>
      <c r="BW59" s="109" t="b">
        <v>1</v>
      </c>
      <c r="BX59" s="109" t="b">
        <v>1</v>
      </c>
      <c r="BY59" s="109" t="b">
        <v>1</v>
      </c>
      <c r="BZ59" s="109" t="b">
        <v>1</v>
      </c>
      <c r="CA59" s="109" t="b">
        <v>1</v>
      </c>
      <c r="CB59" s="109" t="b">
        <v>1</v>
      </c>
      <c r="CC59" s="109" t="b">
        <v>1</v>
      </c>
      <c r="CD59" s="109" t="b">
        <v>1</v>
      </c>
      <c r="CE59" s="109" t="b">
        <v>1</v>
      </c>
      <c r="CF59" s="109" t="b">
        <v>1</v>
      </c>
      <c r="CG59" s="109" t="b">
        <v>1</v>
      </c>
      <c r="CH59" s="109" t="b">
        <v>1</v>
      </c>
      <c r="CI59" s="109" t="b">
        <v>0</v>
      </c>
      <c r="CJ59" s="109" t="b">
        <v>0</v>
      </c>
      <c r="CK59" s="109" t="b">
        <v>0</v>
      </c>
      <c r="CL59" s="109" t="b">
        <v>0</v>
      </c>
      <c r="CM59" s="109" t="b">
        <v>0</v>
      </c>
      <c r="CN59" s="109" t="b">
        <v>0</v>
      </c>
    </row>
    <row r="60">
      <c r="A60" s="123" t="s">
        <v>1086</v>
      </c>
      <c r="B60" s="123">
        <v>8.860195289E9</v>
      </c>
      <c r="C60" s="117" t="s">
        <v>1087</v>
      </c>
      <c r="D60" s="109" t="s">
        <v>571</v>
      </c>
      <c r="F60" s="109" t="b">
        <v>0</v>
      </c>
      <c r="G60" s="109" t="b">
        <v>0</v>
      </c>
      <c r="H60" s="109" t="b">
        <v>0</v>
      </c>
      <c r="I60" s="109" t="b">
        <v>0</v>
      </c>
      <c r="J60" s="109" t="b">
        <v>0</v>
      </c>
      <c r="K60" s="109" t="b">
        <v>0</v>
      </c>
      <c r="L60" s="109" t="b">
        <v>0</v>
      </c>
      <c r="M60" s="109" t="b">
        <v>0</v>
      </c>
      <c r="N60" s="109" t="b">
        <v>0</v>
      </c>
      <c r="O60" s="109" t="b">
        <v>0</v>
      </c>
      <c r="P60" s="109" t="b">
        <v>0</v>
      </c>
      <c r="Q60" s="109" t="b">
        <v>0</v>
      </c>
      <c r="R60" s="109" t="b">
        <v>0</v>
      </c>
      <c r="S60" s="109" t="b">
        <v>0</v>
      </c>
      <c r="T60" s="109" t="b">
        <v>0</v>
      </c>
      <c r="U60" s="109" t="b">
        <v>0</v>
      </c>
      <c r="V60" s="109" t="b">
        <v>0</v>
      </c>
      <c r="W60" s="109" t="b">
        <v>0</v>
      </c>
      <c r="X60" s="109" t="b">
        <v>0</v>
      </c>
      <c r="Y60" s="109" t="b">
        <v>0</v>
      </c>
      <c r="Z60" s="109" t="b">
        <v>0</v>
      </c>
      <c r="AA60" s="109" t="b">
        <v>0</v>
      </c>
      <c r="AB60" s="109" t="b">
        <v>0</v>
      </c>
      <c r="AC60" s="109" t="b">
        <v>0</v>
      </c>
      <c r="AD60" s="109" t="b">
        <v>0</v>
      </c>
      <c r="AE60" s="109" t="b">
        <v>0</v>
      </c>
      <c r="AF60" s="109" t="b">
        <v>0</v>
      </c>
      <c r="AG60" s="109" t="b">
        <v>0</v>
      </c>
      <c r="AH60" s="109" t="b">
        <v>0</v>
      </c>
      <c r="AI60" s="109" t="b">
        <v>0</v>
      </c>
      <c r="AJ60" s="109" t="b">
        <v>1</v>
      </c>
      <c r="AK60" s="109" t="b">
        <v>1</v>
      </c>
      <c r="AL60" s="109" t="b">
        <v>1</v>
      </c>
      <c r="AM60" s="109" t="b">
        <v>1</v>
      </c>
      <c r="AN60" s="109" t="b">
        <v>0</v>
      </c>
      <c r="AO60" s="109" t="b">
        <v>0</v>
      </c>
      <c r="AP60" s="109" t="b">
        <v>1</v>
      </c>
      <c r="AQ60" s="109" t="b">
        <v>0</v>
      </c>
      <c r="AR60" s="109" t="b">
        <v>0</v>
      </c>
      <c r="AS60" s="109" t="b">
        <v>1</v>
      </c>
      <c r="AT60" s="109" t="b">
        <v>1</v>
      </c>
      <c r="AU60" s="109" t="b">
        <v>0</v>
      </c>
      <c r="AV60" s="109" t="b">
        <v>1</v>
      </c>
      <c r="AW60" s="109" t="b">
        <v>1</v>
      </c>
      <c r="AX60" s="109" t="b">
        <v>1</v>
      </c>
      <c r="AY60" s="109" t="b">
        <v>0</v>
      </c>
      <c r="AZ60" s="109" t="b">
        <v>0</v>
      </c>
      <c r="BA60" s="109" t="b">
        <v>0</v>
      </c>
      <c r="BB60" s="109" t="b">
        <v>1</v>
      </c>
      <c r="BC60" s="109" t="b">
        <v>0</v>
      </c>
      <c r="BD60" s="109" t="b">
        <v>1</v>
      </c>
      <c r="BE60" s="109" t="b">
        <v>1</v>
      </c>
      <c r="BF60" s="109" t="b">
        <v>1</v>
      </c>
      <c r="BG60" s="109" t="b">
        <v>1</v>
      </c>
      <c r="BH60" s="109" t="b">
        <v>1</v>
      </c>
      <c r="BI60" s="109" t="b">
        <v>1</v>
      </c>
      <c r="BJ60" s="109" t="b">
        <v>1</v>
      </c>
      <c r="BK60" s="109" t="b">
        <v>1</v>
      </c>
      <c r="BL60" s="109" t="b">
        <v>1</v>
      </c>
      <c r="BM60" s="109" t="b">
        <v>1</v>
      </c>
      <c r="BN60" s="109" t="b">
        <v>1</v>
      </c>
      <c r="BO60" s="109" t="b">
        <v>0</v>
      </c>
      <c r="BP60" s="109" t="b">
        <v>1</v>
      </c>
      <c r="BQ60" s="109" t="b">
        <v>1</v>
      </c>
      <c r="BR60" s="109" t="b">
        <v>1</v>
      </c>
      <c r="BS60" s="109" t="b">
        <v>1</v>
      </c>
      <c r="BT60" s="109" t="b">
        <v>1</v>
      </c>
      <c r="BU60" s="109" t="b">
        <v>1</v>
      </c>
      <c r="BV60" s="109" t="b">
        <v>1</v>
      </c>
      <c r="BW60" s="109" t="b">
        <v>1</v>
      </c>
      <c r="BX60" s="109" t="b">
        <v>1</v>
      </c>
      <c r="BY60" s="109" t="b">
        <v>1</v>
      </c>
      <c r="BZ60" s="109" t="b">
        <v>1</v>
      </c>
      <c r="CA60" s="109" t="b">
        <v>1</v>
      </c>
      <c r="CB60" s="109" t="b">
        <v>1</v>
      </c>
      <c r="CC60" s="109" t="b">
        <v>0</v>
      </c>
      <c r="CD60" s="109" t="b">
        <v>0</v>
      </c>
      <c r="CE60" s="109" t="b">
        <v>0</v>
      </c>
      <c r="CF60" s="109" t="b">
        <v>0</v>
      </c>
      <c r="CG60" s="109" t="b">
        <v>0</v>
      </c>
      <c r="CH60" s="109" t="b">
        <v>0</v>
      </c>
      <c r="CI60" s="109" t="b">
        <v>0</v>
      </c>
      <c r="CJ60" s="109" t="b">
        <v>0</v>
      </c>
      <c r="CK60" s="109" t="b">
        <v>0</v>
      </c>
      <c r="CL60" s="109" t="b">
        <v>0</v>
      </c>
      <c r="CM60" s="109" t="b">
        <v>0</v>
      </c>
      <c r="CN60" s="109" t="b">
        <v>0</v>
      </c>
    </row>
    <row r="61">
      <c r="A61" s="123" t="s">
        <v>1088</v>
      </c>
      <c r="B61" s="123">
        <v>8.750356023E9</v>
      </c>
      <c r="C61" s="117" t="s">
        <v>1089</v>
      </c>
      <c r="D61" s="109" t="s">
        <v>571</v>
      </c>
      <c r="F61" s="109" t="b">
        <v>0</v>
      </c>
      <c r="G61" s="109" t="b">
        <v>0</v>
      </c>
      <c r="H61" s="109" t="b">
        <v>0</v>
      </c>
      <c r="I61" s="109" t="b">
        <v>0</v>
      </c>
      <c r="J61" s="109" t="b">
        <v>0</v>
      </c>
      <c r="K61" s="109" t="b">
        <v>0</v>
      </c>
      <c r="L61" s="109" t="b">
        <v>0</v>
      </c>
      <c r="M61" s="109" t="b">
        <v>0</v>
      </c>
      <c r="N61" s="109" t="b">
        <v>1</v>
      </c>
      <c r="O61" s="109" t="b">
        <v>0</v>
      </c>
      <c r="P61" s="109" t="b">
        <v>0</v>
      </c>
      <c r="Q61" s="109" t="b">
        <v>0</v>
      </c>
      <c r="R61" s="109" t="b">
        <v>1</v>
      </c>
      <c r="S61" s="109" t="b">
        <v>1</v>
      </c>
      <c r="T61" s="109" t="b">
        <v>0</v>
      </c>
      <c r="U61" s="109" t="b">
        <v>0</v>
      </c>
      <c r="V61" s="109" t="b">
        <v>1</v>
      </c>
      <c r="W61" s="109" t="b">
        <v>0</v>
      </c>
      <c r="X61" s="109" t="b">
        <v>0</v>
      </c>
      <c r="Y61" s="109" t="b">
        <v>1</v>
      </c>
      <c r="Z61" s="109" t="b">
        <v>1</v>
      </c>
      <c r="AA61" s="109" t="b">
        <v>0</v>
      </c>
      <c r="AB61" s="109" t="b">
        <v>0</v>
      </c>
      <c r="AC61" s="109" t="b">
        <v>0</v>
      </c>
      <c r="AD61" s="109" t="b">
        <v>0</v>
      </c>
      <c r="AE61" s="109" t="b">
        <v>0</v>
      </c>
      <c r="AF61" s="109" t="b">
        <v>0</v>
      </c>
      <c r="AG61" s="109" t="b">
        <v>1</v>
      </c>
      <c r="AH61" s="109" t="b">
        <v>0</v>
      </c>
      <c r="AI61" s="109" t="b">
        <v>0</v>
      </c>
      <c r="AJ61" s="109" t="b">
        <v>0</v>
      </c>
      <c r="AK61" s="109" t="b">
        <v>0</v>
      </c>
      <c r="AL61" s="109" t="b">
        <v>1</v>
      </c>
      <c r="AM61" s="109" t="b">
        <v>0</v>
      </c>
      <c r="AN61" s="109" t="b">
        <v>0</v>
      </c>
      <c r="AO61" s="109" t="b">
        <v>0</v>
      </c>
      <c r="AP61" s="109" t="b">
        <v>0</v>
      </c>
      <c r="AQ61" s="109" t="b">
        <v>0</v>
      </c>
      <c r="AR61" s="109" t="b">
        <v>1</v>
      </c>
      <c r="AS61" s="109" t="b">
        <v>0</v>
      </c>
      <c r="AT61" s="109" t="b">
        <v>0</v>
      </c>
      <c r="AU61" s="109" t="b">
        <v>0</v>
      </c>
      <c r="AV61" s="109" t="b">
        <v>1</v>
      </c>
      <c r="AW61" s="109" t="b">
        <v>1</v>
      </c>
      <c r="AX61" s="109" t="b">
        <v>1</v>
      </c>
      <c r="AY61" s="109" t="b">
        <v>1</v>
      </c>
      <c r="AZ61" s="109" t="b">
        <v>0</v>
      </c>
      <c r="BA61" s="109" t="b">
        <v>1</v>
      </c>
      <c r="BB61" s="109" t="b">
        <v>0</v>
      </c>
      <c r="BC61" s="109" t="b">
        <v>0</v>
      </c>
      <c r="BD61" s="109" t="b">
        <v>1</v>
      </c>
      <c r="BE61" s="109" t="b">
        <v>0</v>
      </c>
      <c r="BF61" s="109" t="b">
        <v>1</v>
      </c>
      <c r="BG61" s="109" t="b">
        <v>1</v>
      </c>
      <c r="BH61" s="109" t="b">
        <v>1</v>
      </c>
      <c r="BI61" s="109" t="b">
        <v>1</v>
      </c>
      <c r="BJ61" s="109" t="b">
        <v>0</v>
      </c>
      <c r="BK61" s="109" t="b">
        <v>0</v>
      </c>
      <c r="BL61" s="109" t="b">
        <v>0</v>
      </c>
      <c r="BM61" s="109" t="b">
        <v>0</v>
      </c>
      <c r="BN61" s="109" t="b">
        <v>0</v>
      </c>
      <c r="BO61" s="109" t="b">
        <v>0</v>
      </c>
      <c r="BP61" s="109" t="b">
        <v>1</v>
      </c>
      <c r="BQ61" s="109" t="b">
        <v>0</v>
      </c>
      <c r="BR61" s="109" t="b">
        <v>1</v>
      </c>
      <c r="BS61" s="109" t="b">
        <v>0</v>
      </c>
      <c r="BT61" s="109" t="b">
        <v>1</v>
      </c>
      <c r="BU61" s="109" t="b">
        <v>1</v>
      </c>
      <c r="BV61" s="109" t="b">
        <v>1</v>
      </c>
      <c r="BW61" s="109" t="b">
        <v>1</v>
      </c>
      <c r="BX61" s="109" t="b">
        <v>1</v>
      </c>
      <c r="BY61" s="109" t="b">
        <v>1</v>
      </c>
      <c r="BZ61" s="109" t="b">
        <v>1</v>
      </c>
      <c r="CA61" s="109" t="b">
        <v>1</v>
      </c>
      <c r="CB61" s="109" t="b">
        <v>0</v>
      </c>
      <c r="CC61" s="109" t="b">
        <v>0</v>
      </c>
      <c r="CD61" s="109" t="b">
        <v>0</v>
      </c>
      <c r="CE61" s="109" t="b">
        <v>0</v>
      </c>
      <c r="CF61" s="109" t="b">
        <v>0</v>
      </c>
      <c r="CG61" s="109" t="b">
        <v>0</v>
      </c>
      <c r="CH61" s="109" t="b">
        <v>0</v>
      </c>
      <c r="CI61" s="109" t="b">
        <v>0</v>
      </c>
      <c r="CJ61" s="109" t="b">
        <v>0</v>
      </c>
      <c r="CK61" s="109" t="b">
        <v>0</v>
      </c>
      <c r="CL61" s="109" t="b">
        <v>0</v>
      </c>
      <c r="CM61" s="109" t="b">
        <v>0</v>
      </c>
      <c r="CN61" s="109" t="b">
        <v>0</v>
      </c>
    </row>
    <row r="62">
      <c r="A62" s="123" t="s">
        <v>1090</v>
      </c>
      <c r="B62" s="123" t="s">
        <v>1091</v>
      </c>
      <c r="C62" s="109" t="s">
        <v>1092</v>
      </c>
      <c r="D62" s="109" t="s">
        <v>571</v>
      </c>
      <c r="F62" s="109" t="b">
        <v>1</v>
      </c>
      <c r="G62" s="109" t="b">
        <v>1</v>
      </c>
      <c r="H62" s="109" t="b">
        <v>1</v>
      </c>
      <c r="I62" s="109" t="b">
        <v>1</v>
      </c>
      <c r="J62" s="109" t="b">
        <v>0</v>
      </c>
      <c r="K62" s="109" t="b">
        <v>0</v>
      </c>
      <c r="L62" s="109" t="b">
        <v>0</v>
      </c>
      <c r="M62" s="109" t="b">
        <v>0</v>
      </c>
      <c r="N62" s="109" t="b">
        <v>0</v>
      </c>
      <c r="O62" s="109" t="b">
        <v>1</v>
      </c>
      <c r="P62" s="109" t="b">
        <v>1</v>
      </c>
      <c r="Q62" s="109" t="b">
        <v>1</v>
      </c>
      <c r="R62" s="109" t="b">
        <v>1</v>
      </c>
      <c r="S62" s="109" t="b">
        <v>1</v>
      </c>
      <c r="T62" s="109" t="b">
        <v>0</v>
      </c>
      <c r="U62" s="109" t="b">
        <v>0</v>
      </c>
      <c r="V62" s="109" t="b">
        <v>0</v>
      </c>
      <c r="W62" s="109" t="b">
        <v>1</v>
      </c>
      <c r="X62" s="109" t="b">
        <v>1</v>
      </c>
      <c r="Y62" s="109" t="b">
        <v>1</v>
      </c>
      <c r="Z62" s="109" t="b">
        <v>0</v>
      </c>
      <c r="AA62" s="109" t="b">
        <v>0</v>
      </c>
      <c r="AB62" s="109" t="b">
        <v>0</v>
      </c>
      <c r="AC62" s="109" t="b">
        <v>0</v>
      </c>
      <c r="AD62" s="109" t="b">
        <v>0</v>
      </c>
      <c r="AE62" s="109" t="b">
        <v>0</v>
      </c>
      <c r="AF62" s="109" t="b">
        <v>0</v>
      </c>
      <c r="AG62" s="109" t="b">
        <v>0</v>
      </c>
      <c r="AH62" s="109" t="b">
        <v>1</v>
      </c>
      <c r="AI62" s="109" t="b">
        <v>0</v>
      </c>
      <c r="AJ62" s="109" t="b">
        <v>0</v>
      </c>
      <c r="AK62" s="109" t="b">
        <v>0</v>
      </c>
      <c r="AL62" s="109" t="b">
        <v>0</v>
      </c>
      <c r="AM62" s="109" t="b">
        <v>1</v>
      </c>
      <c r="AN62" s="109" t="b">
        <v>0</v>
      </c>
      <c r="AO62" s="109" t="b">
        <v>0</v>
      </c>
      <c r="AP62" s="109" t="b">
        <v>0</v>
      </c>
      <c r="AQ62" s="109" t="b">
        <v>1</v>
      </c>
      <c r="AR62" s="109" t="b">
        <v>1</v>
      </c>
      <c r="AS62" s="109" t="b">
        <v>0</v>
      </c>
      <c r="AT62" s="109" t="b">
        <v>0</v>
      </c>
      <c r="AU62" s="109" t="b">
        <v>0</v>
      </c>
      <c r="AV62" s="109" t="b">
        <v>1</v>
      </c>
      <c r="AW62" s="109" t="b">
        <v>0</v>
      </c>
      <c r="AX62" s="109" t="b">
        <v>1</v>
      </c>
      <c r="AY62" s="109" t="b">
        <v>1</v>
      </c>
      <c r="AZ62" s="109" t="b">
        <v>1</v>
      </c>
      <c r="BA62" s="109" t="b">
        <v>1</v>
      </c>
      <c r="BB62" s="109" t="b">
        <v>1</v>
      </c>
      <c r="BC62" s="109" t="b">
        <v>1</v>
      </c>
      <c r="BD62" s="109" t="b">
        <v>1</v>
      </c>
      <c r="BE62" s="109" t="b">
        <v>1</v>
      </c>
      <c r="BF62" s="109" t="b">
        <v>1</v>
      </c>
      <c r="BG62" s="109" t="b">
        <v>1</v>
      </c>
      <c r="BH62" s="109" t="b">
        <v>1</v>
      </c>
      <c r="BI62" s="109" t="b">
        <v>1</v>
      </c>
      <c r="BJ62" s="109" t="b">
        <v>1</v>
      </c>
      <c r="BK62" s="109" t="b">
        <v>1</v>
      </c>
      <c r="BL62" s="109" t="b">
        <v>0</v>
      </c>
      <c r="BM62" s="109" t="b">
        <v>1</v>
      </c>
      <c r="BN62" s="109" t="b">
        <v>1</v>
      </c>
      <c r="BO62" s="109" t="b">
        <v>1</v>
      </c>
      <c r="BP62" s="109" t="b">
        <v>1</v>
      </c>
      <c r="BQ62" s="109" t="b">
        <v>1</v>
      </c>
      <c r="BR62" s="109" t="b">
        <v>1</v>
      </c>
      <c r="BS62" s="109" t="b">
        <v>1</v>
      </c>
      <c r="BT62" s="109" t="b">
        <v>1</v>
      </c>
      <c r="BU62" s="109" t="b">
        <v>1</v>
      </c>
      <c r="BV62" s="109" t="b">
        <v>1</v>
      </c>
      <c r="BW62" s="109" t="b">
        <v>1</v>
      </c>
      <c r="BX62" s="109" t="b">
        <v>1</v>
      </c>
      <c r="BY62" s="109" t="b">
        <v>1</v>
      </c>
      <c r="BZ62" s="109" t="b">
        <v>1</v>
      </c>
      <c r="CA62" s="109" t="b">
        <v>0</v>
      </c>
      <c r="CB62" s="109" t="b">
        <v>1</v>
      </c>
      <c r="CC62" s="109" t="b">
        <v>0</v>
      </c>
      <c r="CD62" s="109" t="b">
        <v>1</v>
      </c>
      <c r="CE62" s="109" t="b">
        <v>1</v>
      </c>
      <c r="CF62" s="109" t="b">
        <v>1</v>
      </c>
      <c r="CG62" s="109" t="b">
        <v>0</v>
      </c>
      <c r="CH62" s="109" t="b">
        <v>0</v>
      </c>
      <c r="CI62" s="109" t="b">
        <v>0</v>
      </c>
      <c r="CJ62" s="109" t="b">
        <v>0</v>
      </c>
      <c r="CK62" s="109" t="b">
        <v>0</v>
      </c>
      <c r="CL62" s="109" t="b">
        <v>0</v>
      </c>
      <c r="CM62" s="109" t="b">
        <v>0</v>
      </c>
      <c r="CN62" s="109" t="b">
        <v>0</v>
      </c>
    </row>
    <row r="63">
      <c r="A63" s="125" t="s">
        <v>1093</v>
      </c>
      <c r="B63" s="125">
        <v>8.3187328E9</v>
      </c>
      <c r="C63" s="125" t="s">
        <v>1094</v>
      </c>
      <c r="D63" s="111" t="s">
        <v>571</v>
      </c>
      <c r="E63" s="112"/>
      <c r="F63" s="111" t="b">
        <v>1</v>
      </c>
      <c r="G63" s="111" t="b">
        <v>0</v>
      </c>
      <c r="H63" s="111" t="b">
        <v>0</v>
      </c>
      <c r="I63" s="111" t="b">
        <v>1</v>
      </c>
      <c r="J63" s="111" t="b">
        <v>1</v>
      </c>
      <c r="K63" s="111" t="b">
        <v>0</v>
      </c>
      <c r="L63" s="111" t="b">
        <v>1</v>
      </c>
      <c r="M63" s="111" t="b">
        <v>1</v>
      </c>
      <c r="N63" s="111" t="b">
        <v>1</v>
      </c>
      <c r="O63" s="111" t="b">
        <v>1</v>
      </c>
      <c r="P63" s="111" t="b">
        <v>1</v>
      </c>
      <c r="Q63" s="111" t="b">
        <v>1</v>
      </c>
      <c r="R63" s="111" t="b">
        <v>1</v>
      </c>
      <c r="S63" s="111" t="b">
        <v>1</v>
      </c>
      <c r="T63" s="111" t="b">
        <v>1</v>
      </c>
      <c r="U63" s="111" t="b">
        <v>1</v>
      </c>
      <c r="V63" s="111" t="b">
        <v>1</v>
      </c>
      <c r="W63" s="111" t="b">
        <v>1</v>
      </c>
      <c r="X63" s="111" t="b">
        <v>1</v>
      </c>
      <c r="Y63" s="111" t="b">
        <v>1</v>
      </c>
      <c r="Z63" s="111" t="b">
        <v>1</v>
      </c>
      <c r="AA63" s="111" t="b">
        <v>0</v>
      </c>
      <c r="AB63" s="111" t="b">
        <v>1</v>
      </c>
      <c r="AC63" s="111" t="b">
        <v>1</v>
      </c>
      <c r="AD63" s="111" t="b">
        <v>1</v>
      </c>
      <c r="AE63" s="111" t="b">
        <v>1</v>
      </c>
      <c r="AF63" s="111" t="b">
        <v>1</v>
      </c>
      <c r="AG63" s="111" t="b">
        <v>1</v>
      </c>
      <c r="AH63" s="111" t="b">
        <v>1</v>
      </c>
      <c r="AI63" s="111" t="b">
        <v>1</v>
      </c>
      <c r="AJ63" s="111" t="b">
        <v>1</v>
      </c>
      <c r="AK63" s="111" t="b">
        <v>0</v>
      </c>
      <c r="AL63" s="111" t="b">
        <v>1</v>
      </c>
      <c r="AM63" s="111" t="b">
        <v>1</v>
      </c>
      <c r="AN63" s="111" t="b">
        <v>1</v>
      </c>
      <c r="AO63" s="111" t="b">
        <v>1</v>
      </c>
      <c r="AP63" s="111" t="b">
        <v>0</v>
      </c>
      <c r="AQ63" s="111" t="b">
        <v>0</v>
      </c>
      <c r="AR63" s="111" t="b">
        <v>0</v>
      </c>
      <c r="AS63" s="111" t="b">
        <v>0</v>
      </c>
      <c r="AT63" s="111" t="b">
        <v>0</v>
      </c>
      <c r="AU63" s="111" t="b">
        <v>0</v>
      </c>
      <c r="AV63" s="111" t="b">
        <v>0</v>
      </c>
      <c r="AW63" s="111" t="b">
        <v>0</v>
      </c>
      <c r="AX63" s="111" t="b">
        <v>1</v>
      </c>
      <c r="AY63" s="111" t="b">
        <v>0</v>
      </c>
      <c r="AZ63" s="111" t="b">
        <v>1</v>
      </c>
      <c r="BA63" s="111" t="b">
        <v>1</v>
      </c>
      <c r="BB63" s="111" t="b">
        <v>1</v>
      </c>
      <c r="BC63" s="111" t="b">
        <v>1</v>
      </c>
      <c r="BD63" s="111" t="b">
        <v>1</v>
      </c>
      <c r="BE63" s="111" t="b">
        <v>1</v>
      </c>
      <c r="BF63" s="111" t="b">
        <v>1</v>
      </c>
      <c r="BG63" s="111" t="b">
        <v>0</v>
      </c>
      <c r="BH63" s="111" t="b">
        <v>0</v>
      </c>
      <c r="BI63" s="111" t="b">
        <v>1</v>
      </c>
      <c r="BJ63" s="111" t="b">
        <v>1</v>
      </c>
      <c r="BK63" s="111" t="b">
        <v>1</v>
      </c>
      <c r="BL63" s="111" t="b">
        <v>1</v>
      </c>
      <c r="BM63" s="111" t="b">
        <v>1</v>
      </c>
      <c r="BN63" s="111" t="b">
        <v>1</v>
      </c>
      <c r="BO63" s="111" t="b">
        <v>1</v>
      </c>
      <c r="BP63" s="111" t="b">
        <v>1</v>
      </c>
      <c r="BQ63" s="111" t="b">
        <v>1</v>
      </c>
      <c r="BR63" s="111" t="b">
        <v>1</v>
      </c>
      <c r="BS63" s="111" t="b">
        <v>1</v>
      </c>
      <c r="BT63" s="111" t="b">
        <v>1</v>
      </c>
      <c r="BU63" s="111" t="b">
        <v>1</v>
      </c>
      <c r="BV63" s="111" t="b">
        <v>1</v>
      </c>
      <c r="BW63" s="111" t="b">
        <v>1</v>
      </c>
      <c r="BX63" s="111" t="b">
        <v>1</v>
      </c>
      <c r="BY63" s="111" t="b">
        <v>1</v>
      </c>
      <c r="BZ63" s="111" t="b">
        <v>1</v>
      </c>
      <c r="CA63" s="111" t="b">
        <v>1</v>
      </c>
      <c r="CB63" s="111" t="b">
        <v>1</v>
      </c>
      <c r="CC63" s="111" t="b">
        <v>1</v>
      </c>
      <c r="CD63" s="111" t="b">
        <v>1</v>
      </c>
      <c r="CE63" s="111" t="b">
        <v>1</v>
      </c>
      <c r="CF63" s="111" t="b">
        <v>1</v>
      </c>
      <c r="CG63" s="111" t="b">
        <v>1</v>
      </c>
      <c r="CH63" s="111" t="b">
        <v>1</v>
      </c>
      <c r="CI63" s="111" t="b">
        <v>1</v>
      </c>
      <c r="CJ63" s="111" t="b">
        <v>0</v>
      </c>
      <c r="CK63" s="111" t="b">
        <v>0</v>
      </c>
      <c r="CL63" s="111" t="b">
        <v>0</v>
      </c>
      <c r="CM63" s="111" t="b">
        <v>0</v>
      </c>
      <c r="CN63" s="111" t="b">
        <v>0</v>
      </c>
    </row>
    <row r="64">
      <c r="A64" s="123" t="s">
        <v>753</v>
      </c>
      <c r="B64" s="109">
        <v>8.709413732E9</v>
      </c>
      <c r="C64" s="109" t="s">
        <v>1095</v>
      </c>
      <c r="D64" s="109" t="s">
        <v>725</v>
      </c>
      <c r="E64" s="110" t="s">
        <v>1096</v>
      </c>
      <c r="F64" s="109" t="b">
        <v>0</v>
      </c>
      <c r="G64" s="109" t="b">
        <v>0</v>
      </c>
      <c r="H64" s="109" t="b">
        <v>0</v>
      </c>
      <c r="I64" s="109" t="b">
        <v>0</v>
      </c>
      <c r="J64" s="109" t="b">
        <v>0</v>
      </c>
      <c r="K64" s="109" t="b">
        <v>0</v>
      </c>
      <c r="L64" s="109" t="b">
        <v>0</v>
      </c>
      <c r="M64" s="109" t="b">
        <v>0</v>
      </c>
      <c r="N64" s="109" t="b">
        <v>0</v>
      </c>
      <c r="O64" s="109" t="b">
        <v>0</v>
      </c>
      <c r="P64" s="109" t="b">
        <v>0</v>
      </c>
      <c r="Q64" s="109" t="b">
        <v>0</v>
      </c>
      <c r="R64" s="109" t="b">
        <v>0</v>
      </c>
      <c r="S64" s="109" t="b">
        <v>1</v>
      </c>
      <c r="T64" s="109" t="b">
        <v>1</v>
      </c>
      <c r="U64" s="109" t="b">
        <v>0</v>
      </c>
      <c r="V64" s="109" t="b">
        <v>0</v>
      </c>
      <c r="W64" s="109" t="b">
        <v>0</v>
      </c>
      <c r="X64" s="109" t="b">
        <v>0</v>
      </c>
      <c r="Y64" s="109" t="b">
        <v>0</v>
      </c>
      <c r="Z64" s="109" t="b">
        <v>1</v>
      </c>
      <c r="AA64" s="109" t="b">
        <v>1</v>
      </c>
      <c r="AB64" s="109" t="b">
        <v>1</v>
      </c>
      <c r="AC64" s="109" t="b">
        <v>0</v>
      </c>
      <c r="AD64" s="109" t="b">
        <v>0</v>
      </c>
      <c r="AE64" s="109" t="b">
        <v>0</v>
      </c>
      <c r="AF64" s="109" t="b">
        <v>0</v>
      </c>
      <c r="AG64" s="109" t="b">
        <v>0</v>
      </c>
      <c r="AH64" s="109" t="b">
        <v>0</v>
      </c>
      <c r="AI64" s="109" t="b">
        <v>1</v>
      </c>
      <c r="AJ64" s="109" t="b">
        <v>0</v>
      </c>
      <c r="AK64" s="109" t="b">
        <v>1</v>
      </c>
      <c r="AL64" s="109" t="b">
        <v>0</v>
      </c>
      <c r="AM64" s="109" t="b">
        <v>0</v>
      </c>
      <c r="AN64" s="109" t="b">
        <v>1</v>
      </c>
      <c r="AO64" s="109" t="b">
        <v>1</v>
      </c>
      <c r="AP64" s="109" t="b">
        <v>1</v>
      </c>
      <c r="AQ64" s="109" t="b">
        <v>1</v>
      </c>
      <c r="AR64" s="109" t="b">
        <v>1</v>
      </c>
      <c r="AS64" s="109" t="b">
        <v>0</v>
      </c>
      <c r="AT64" s="109" t="b">
        <v>0</v>
      </c>
      <c r="AU64" s="109" t="b">
        <v>1</v>
      </c>
      <c r="AV64" s="109" t="b">
        <v>1</v>
      </c>
      <c r="AW64" s="109" t="b">
        <v>0</v>
      </c>
      <c r="AX64" s="109" t="b">
        <v>0</v>
      </c>
      <c r="AY64" s="109" t="b">
        <v>1</v>
      </c>
      <c r="AZ64" s="109" t="b">
        <v>1</v>
      </c>
      <c r="BA64" s="109" t="b">
        <v>1</v>
      </c>
      <c r="BB64" s="109" t="b">
        <v>1</v>
      </c>
      <c r="BC64" s="109" t="b">
        <v>1</v>
      </c>
      <c r="BD64" s="109" t="b">
        <v>0</v>
      </c>
      <c r="BE64" s="109" t="b">
        <v>1</v>
      </c>
      <c r="BF64" s="109" t="b">
        <v>1</v>
      </c>
      <c r="BG64" s="109" t="b">
        <v>0</v>
      </c>
      <c r="BH64" s="109" t="b">
        <v>0</v>
      </c>
      <c r="BI64" s="109" t="b">
        <v>1</v>
      </c>
      <c r="BJ64" s="109" t="b">
        <v>1</v>
      </c>
      <c r="BK64" s="109" t="b">
        <v>1</v>
      </c>
      <c r="BL64" s="109" t="b">
        <v>0</v>
      </c>
      <c r="BM64" s="109" t="b">
        <v>1</v>
      </c>
      <c r="BN64" s="109" t="b">
        <v>1</v>
      </c>
      <c r="BO64" s="109" t="b">
        <v>1</v>
      </c>
      <c r="BP64" s="109" t="b">
        <v>1</v>
      </c>
      <c r="BQ64" s="109" t="b">
        <v>1</v>
      </c>
      <c r="BR64" s="109" t="b">
        <v>0</v>
      </c>
      <c r="BS64" s="109" t="b">
        <v>1</v>
      </c>
      <c r="BT64" s="109" t="b">
        <v>0</v>
      </c>
      <c r="BU64" s="109" t="b">
        <v>1</v>
      </c>
      <c r="BV64" s="109" t="b">
        <v>1</v>
      </c>
      <c r="BW64" s="109" t="b">
        <v>1</v>
      </c>
      <c r="BX64" s="109" t="b">
        <v>1</v>
      </c>
      <c r="BY64" s="109" t="b">
        <v>0</v>
      </c>
      <c r="BZ64" s="109" t="b">
        <v>1</v>
      </c>
      <c r="CA64" s="109" t="b">
        <v>1</v>
      </c>
      <c r="CB64" s="109" t="b">
        <v>1</v>
      </c>
      <c r="CC64" s="109" t="b">
        <v>1</v>
      </c>
      <c r="CD64" s="109" t="b">
        <v>1</v>
      </c>
      <c r="CE64" s="109" t="b">
        <v>1</v>
      </c>
      <c r="CF64" s="109" t="b">
        <v>1</v>
      </c>
      <c r="CG64" s="109" t="b">
        <v>1</v>
      </c>
      <c r="CH64" s="109" t="b">
        <v>1</v>
      </c>
      <c r="CI64" s="109" t="b">
        <v>1</v>
      </c>
      <c r="CJ64" s="109" t="b">
        <v>1</v>
      </c>
      <c r="CK64" s="109" t="b">
        <v>0</v>
      </c>
      <c r="CL64" s="109" t="b">
        <v>1</v>
      </c>
      <c r="CM64" s="109" t="b">
        <v>1</v>
      </c>
      <c r="CN64" s="109" t="b">
        <v>1</v>
      </c>
    </row>
    <row r="65">
      <c r="A65" s="123" t="s">
        <v>1097</v>
      </c>
      <c r="B65" s="109">
        <v>9.835847093E9</v>
      </c>
      <c r="C65" s="109" t="s">
        <v>1098</v>
      </c>
      <c r="D65" s="109" t="s">
        <v>725</v>
      </c>
      <c r="F65" s="109" t="b">
        <v>0</v>
      </c>
      <c r="G65" s="109" t="b">
        <v>0</v>
      </c>
      <c r="H65" s="109" t="b">
        <v>0</v>
      </c>
      <c r="I65" s="109" t="b">
        <v>0</v>
      </c>
      <c r="J65" s="109" t="b">
        <v>0</v>
      </c>
      <c r="K65" s="109" t="b">
        <v>0</v>
      </c>
      <c r="L65" s="109" t="b">
        <v>0</v>
      </c>
      <c r="M65" s="109" t="b">
        <v>0</v>
      </c>
      <c r="N65" s="109" t="b">
        <v>0</v>
      </c>
      <c r="O65" s="109" t="b">
        <v>0</v>
      </c>
      <c r="P65" s="109" t="b">
        <v>0</v>
      </c>
      <c r="Q65" s="109" t="b">
        <v>0</v>
      </c>
      <c r="R65" s="109" t="b">
        <v>0</v>
      </c>
      <c r="S65" s="109" t="b">
        <v>0</v>
      </c>
      <c r="T65" s="109" t="b">
        <v>0</v>
      </c>
      <c r="U65" s="109" t="b">
        <v>0</v>
      </c>
      <c r="V65" s="109" t="b">
        <v>0</v>
      </c>
      <c r="W65" s="109" t="b">
        <v>0</v>
      </c>
      <c r="X65" s="109" t="b">
        <v>0</v>
      </c>
      <c r="Y65" s="109" t="b">
        <v>0</v>
      </c>
      <c r="Z65" s="109" t="b">
        <v>0</v>
      </c>
      <c r="AA65" s="109" t="b">
        <v>0</v>
      </c>
      <c r="AB65" s="109" t="b">
        <v>0</v>
      </c>
      <c r="AC65" s="109" t="b">
        <v>0</v>
      </c>
      <c r="AD65" s="109" t="b">
        <v>0</v>
      </c>
      <c r="AE65" s="109" t="b">
        <v>0</v>
      </c>
      <c r="AF65" s="109" t="b">
        <v>0</v>
      </c>
      <c r="AG65" s="109" t="b">
        <v>0</v>
      </c>
      <c r="AH65" s="109" t="b">
        <v>0</v>
      </c>
      <c r="AI65" s="109" t="b">
        <v>0</v>
      </c>
      <c r="AJ65" s="109" t="b">
        <v>0</v>
      </c>
      <c r="AK65" s="109" t="b">
        <v>0</v>
      </c>
      <c r="AL65" s="109" t="b">
        <v>0</v>
      </c>
      <c r="AM65" s="109" t="b">
        <v>0</v>
      </c>
      <c r="AN65" s="109" t="b">
        <v>0</v>
      </c>
      <c r="AO65" s="109" t="b">
        <v>0</v>
      </c>
      <c r="AP65" s="109" t="b">
        <v>0</v>
      </c>
      <c r="AQ65" s="109" t="b">
        <v>0</v>
      </c>
      <c r="AR65" s="109" t="b">
        <v>0</v>
      </c>
      <c r="AS65" s="109" t="b">
        <v>0</v>
      </c>
      <c r="AT65" s="109" t="b">
        <v>0</v>
      </c>
      <c r="AU65" s="109" t="b">
        <v>0</v>
      </c>
      <c r="AV65" s="109" t="b">
        <v>0</v>
      </c>
      <c r="AW65" s="109" t="b">
        <v>0</v>
      </c>
      <c r="AX65" s="109" t="b">
        <v>0</v>
      </c>
      <c r="AY65" s="109" t="b">
        <v>0</v>
      </c>
      <c r="AZ65" s="109" t="b">
        <v>0</v>
      </c>
      <c r="BA65" s="109" t="b">
        <v>0</v>
      </c>
      <c r="BB65" s="109" t="b">
        <v>0</v>
      </c>
      <c r="BC65" s="109" t="b">
        <v>1</v>
      </c>
      <c r="BD65" s="109" t="b">
        <v>1</v>
      </c>
      <c r="BE65" s="109" t="b">
        <v>0</v>
      </c>
      <c r="BF65" s="109" t="b">
        <v>0</v>
      </c>
      <c r="BG65" s="109" t="b">
        <v>0</v>
      </c>
      <c r="BH65" s="109" t="b">
        <v>0</v>
      </c>
      <c r="BI65" s="109" t="b">
        <v>0</v>
      </c>
      <c r="BJ65" s="109" t="b">
        <v>0</v>
      </c>
      <c r="BK65" s="109" t="b">
        <v>0</v>
      </c>
      <c r="BL65" s="109" t="b">
        <v>0</v>
      </c>
      <c r="BM65" s="109" t="b">
        <v>0</v>
      </c>
      <c r="BN65" s="109" t="b">
        <v>0</v>
      </c>
      <c r="BO65" s="109" t="b">
        <v>0</v>
      </c>
      <c r="BP65" s="109" t="b">
        <v>0</v>
      </c>
      <c r="BQ65" s="109" t="b">
        <v>0</v>
      </c>
      <c r="BR65" s="109" t="b">
        <v>0</v>
      </c>
      <c r="BS65" s="109" t="b">
        <v>0</v>
      </c>
      <c r="BT65" s="109" t="b">
        <v>0</v>
      </c>
      <c r="BU65" s="109" t="b">
        <v>0</v>
      </c>
      <c r="BV65" s="109" t="b">
        <v>0</v>
      </c>
      <c r="BW65" s="109" t="b">
        <v>0</v>
      </c>
      <c r="BX65" s="109" t="b">
        <v>0</v>
      </c>
      <c r="BY65" s="109" t="b">
        <v>0</v>
      </c>
      <c r="BZ65" s="109" t="b">
        <v>0</v>
      </c>
      <c r="CA65" s="109" t="b">
        <v>0</v>
      </c>
      <c r="CB65" s="109" t="b">
        <v>0</v>
      </c>
      <c r="CC65" s="109" t="b">
        <v>1</v>
      </c>
      <c r="CD65" s="109" t="b">
        <v>1</v>
      </c>
      <c r="CE65" s="109" t="b">
        <v>0</v>
      </c>
      <c r="CF65" s="109" t="b">
        <v>0</v>
      </c>
      <c r="CG65" s="109" t="b">
        <v>1</v>
      </c>
      <c r="CH65" s="109" t="b">
        <v>1</v>
      </c>
      <c r="CI65" s="109" t="b">
        <v>1</v>
      </c>
      <c r="CJ65" s="109" t="b">
        <v>1</v>
      </c>
      <c r="CK65" s="109" t="b">
        <v>1</v>
      </c>
      <c r="CL65" s="109" t="b">
        <v>1</v>
      </c>
      <c r="CM65" s="109" t="b">
        <v>1</v>
      </c>
      <c r="CN65" s="109" t="b">
        <v>0</v>
      </c>
    </row>
    <row r="66">
      <c r="A66" s="109" t="s">
        <v>1099</v>
      </c>
      <c r="B66" s="109">
        <v>7.979715342E9</v>
      </c>
      <c r="C66" s="109" t="s">
        <v>1100</v>
      </c>
      <c r="D66" s="109" t="s">
        <v>725</v>
      </c>
      <c r="F66" s="109" t="b">
        <v>0</v>
      </c>
      <c r="G66" s="109" t="b">
        <v>0</v>
      </c>
      <c r="H66" s="109" t="b">
        <v>0</v>
      </c>
      <c r="I66" s="109" t="b">
        <v>0</v>
      </c>
      <c r="J66" s="109" t="b">
        <v>0</v>
      </c>
      <c r="K66" s="109" t="b">
        <v>0</v>
      </c>
      <c r="L66" s="109" t="b">
        <v>0</v>
      </c>
      <c r="M66" s="109" t="b">
        <v>0</v>
      </c>
      <c r="N66" s="109" t="b">
        <v>0</v>
      </c>
      <c r="O66" s="109" t="b">
        <v>0</v>
      </c>
      <c r="P66" s="109" t="b">
        <v>0</v>
      </c>
      <c r="Q66" s="109" t="b">
        <v>0</v>
      </c>
      <c r="R66" s="109" t="b">
        <v>0</v>
      </c>
      <c r="S66" s="109" t="b">
        <v>0</v>
      </c>
      <c r="T66" s="109" t="b">
        <v>0</v>
      </c>
      <c r="U66" s="109" t="b">
        <v>0</v>
      </c>
      <c r="V66" s="109" t="b">
        <v>0</v>
      </c>
      <c r="W66" s="109" t="b">
        <v>0</v>
      </c>
      <c r="X66" s="109" t="b">
        <v>0</v>
      </c>
      <c r="Y66" s="109" t="b">
        <v>0</v>
      </c>
      <c r="Z66" s="109" t="b">
        <v>0</v>
      </c>
      <c r="AA66" s="109" t="b">
        <v>0</v>
      </c>
      <c r="AB66" s="109" t="b">
        <v>0</v>
      </c>
      <c r="AC66" s="109" t="b">
        <v>0</v>
      </c>
      <c r="AD66" s="109" t="b">
        <v>0</v>
      </c>
      <c r="AE66" s="109" t="b">
        <v>0</v>
      </c>
      <c r="AF66" s="109" t="b">
        <v>0</v>
      </c>
      <c r="AG66" s="109" t="b">
        <v>0</v>
      </c>
      <c r="AH66" s="109" t="b">
        <v>0</v>
      </c>
      <c r="AI66" s="109" t="b">
        <v>0</v>
      </c>
      <c r="AJ66" s="109" t="b">
        <v>0</v>
      </c>
      <c r="AK66" s="109" t="b">
        <v>0</v>
      </c>
      <c r="AL66" s="109" t="b">
        <v>0</v>
      </c>
      <c r="AM66" s="109" t="b">
        <v>0</v>
      </c>
      <c r="AN66" s="109" t="b">
        <v>0</v>
      </c>
      <c r="AO66" s="109" t="b">
        <v>0</v>
      </c>
      <c r="AP66" s="109" t="b">
        <v>0</v>
      </c>
      <c r="AQ66" s="109" t="b">
        <v>0</v>
      </c>
      <c r="AR66" s="109" t="b">
        <v>0</v>
      </c>
      <c r="AS66" s="109" t="b">
        <v>0</v>
      </c>
      <c r="AT66" s="109" t="b">
        <v>0</v>
      </c>
      <c r="AU66" s="109" t="b">
        <v>1</v>
      </c>
      <c r="AV66" s="109" t="b">
        <v>1</v>
      </c>
      <c r="AW66" s="109" t="b">
        <v>0</v>
      </c>
      <c r="AX66" s="109" t="b">
        <v>0</v>
      </c>
      <c r="AY66" s="109" t="b">
        <v>0</v>
      </c>
      <c r="AZ66" s="109" t="b">
        <v>0</v>
      </c>
      <c r="BA66" s="109" t="b">
        <v>0</v>
      </c>
      <c r="BB66" s="109" t="b">
        <v>0</v>
      </c>
      <c r="BC66" s="109" t="b">
        <v>0</v>
      </c>
      <c r="BD66" s="109" t="b">
        <v>0</v>
      </c>
      <c r="BE66" s="109" t="b">
        <v>0</v>
      </c>
      <c r="BF66" s="109" t="b">
        <v>0</v>
      </c>
      <c r="BG66" s="109" t="b">
        <v>0</v>
      </c>
      <c r="BH66" s="109" t="b">
        <v>0</v>
      </c>
      <c r="BI66" s="109" t="b">
        <v>1</v>
      </c>
      <c r="BJ66" s="109" t="b">
        <v>0</v>
      </c>
      <c r="BK66" s="109" t="b">
        <v>1</v>
      </c>
      <c r="BL66" s="109" t="b">
        <v>1</v>
      </c>
      <c r="BM66" s="109" t="b">
        <v>0</v>
      </c>
      <c r="BN66" s="109" t="b">
        <v>0</v>
      </c>
      <c r="BO66" s="109" t="b">
        <v>0</v>
      </c>
      <c r="BP66" s="109" t="b">
        <v>0</v>
      </c>
      <c r="BQ66" s="109" t="b">
        <v>0</v>
      </c>
      <c r="BR66" s="109" t="b">
        <v>0</v>
      </c>
      <c r="BS66" s="109" t="b">
        <v>0</v>
      </c>
      <c r="BT66" s="109" t="b">
        <v>1</v>
      </c>
      <c r="BU66" s="109" t="b">
        <v>0</v>
      </c>
      <c r="BV66" s="109" t="b">
        <v>0</v>
      </c>
      <c r="BW66" s="109" t="b">
        <v>0</v>
      </c>
      <c r="BX66" s="109" t="b">
        <v>0</v>
      </c>
      <c r="BY66" s="109" t="b">
        <v>1</v>
      </c>
      <c r="BZ66" s="109" t="b">
        <v>0</v>
      </c>
      <c r="CA66" s="109" t="b">
        <v>0</v>
      </c>
      <c r="CB66" s="109" t="b">
        <v>1</v>
      </c>
      <c r="CC66" s="109" t="b">
        <v>1</v>
      </c>
      <c r="CD66" s="109" t="b">
        <v>1</v>
      </c>
      <c r="CE66" s="109" t="b">
        <v>1</v>
      </c>
      <c r="CF66" s="109" t="b">
        <v>1</v>
      </c>
      <c r="CG66" s="109" t="b">
        <v>1</v>
      </c>
      <c r="CH66" s="109" t="b">
        <v>1</v>
      </c>
      <c r="CI66" s="109" t="b">
        <v>1</v>
      </c>
      <c r="CJ66" s="109" t="b">
        <v>1</v>
      </c>
      <c r="CK66" s="109" t="b">
        <v>1</v>
      </c>
      <c r="CL66" s="109" t="b">
        <v>1</v>
      </c>
      <c r="CM66" s="109" t="b">
        <v>1</v>
      </c>
      <c r="CN66" s="109" t="b">
        <v>1</v>
      </c>
    </row>
    <row r="67">
      <c r="A67" s="109" t="s">
        <v>1101</v>
      </c>
      <c r="B67" s="109">
        <v>8.789641513E9</v>
      </c>
      <c r="C67" s="109" t="s">
        <v>1102</v>
      </c>
      <c r="D67" s="109" t="s">
        <v>725</v>
      </c>
      <c r="F67" s="109" t="b">
        <v>1</v>
      </c>
      <c r="G67" s="109" t="b">
        <v>1</v>
      </c>
      <c r="H67" s="109" t="b">
        <v>1</v>
      </c>
      <c r="I67" s="109" t="b">
        <v>1</v>
      </c>
      <c r="J67" s="109" t="b">
        <v>1</v>
      </c>
      <c r="K67" s="109" t="b">
        <v>1</v>
      </c>
      <c r="L67" s="109" t="b">
        <v>1</v>
      </c>
      <c r="M67" s="109" t="b">
        <v>1</v>
      </c>
      <c r="N67" s="109" t="b">
        <v>1</v>
      </c>
      <c r="O67" s="109" t="b">
        <v>1</v>
      </c>
      <c r="P67" s="109" t="b">
        <v>1</v>
      </c>
      <c r="Q67" s="109" t="b">
        <v>1</v>
      </c>
      <c r="R67" s="109" t="b">
        <v>1</v>
      </c>
      <c r="S67" s="109" t="b">
        <v>1</v>
      </c>
      <c r="T67" s="109" t="b">
        <v>1</v>
      </c>
      <c r="U67" s="109" t="b">
        <v>1</v>
      </c>
      <c r="V67" s="109" t="b">
        <v>1</v>
      </c>
      <c r="W67" s="109" t="b">
        <v>1</v>
      </c>
      <c r="X67" s="109" t="b">
        <v>1</v>
      </c>
      <c r="Y67" s="109" t="b">
        <v>1</v>
      </c>
      <c r="Z67" s="109" t="b">
        <v>0</v>
      </c>
      <c r="AA67" s="109" t="b">
        <v>0</v>
      </c>
      <c r="AB67" s="109" t="b">
        <v>1</v>
      </c>
      <c r="AC67" s="109" t="b">
        <v>1</v>
      </c>
      <c r="AD67" s="109" t="b">
        <v>1</v>
      </c>
      <c r="AE67" s="109" t="b">
        <v>0</v>
      </c>
      <c r="AF67" s="109" t="b">
        <v>1</v>
      </c>
      <c r="AG67" s="109" t="b">
        <v>1</v>
      </c>
      <c r="AH67" s="109" t="b">
        <v>0</v>
      </c>
      <c r="AI67" s="109" t="b">
        <v>0</v>
      </c>
      <c r="AJ67" s="109" t="b">
        <v>0</v>
      </c>
      <c r="AK67" s="109" t="b">
        <v>1</v>
      </c>
      <c r="AL67" s="109" t="b">
        <v>1</v>
      </c>
      <c r="AM67" s="109" t="b">
        <v>1</v>
      </c>
      <c r="AN67" s="109" t="b">
        <v>1</v>
      </c>
      <c r="AO67" s="109" t="b">
        <v>1</v>
      </c>
      <c r="AP67" s="109" t="b">
        <v>1</v>
      </c>
      <c r="AQ67" s="109" t="b">
        <v>1</v>
      </c>
      <c r="AR67" s="109" t="b">
        <v>1</v>
      </c>
      <c r="AS67" s="109" t="b">
        <v>1</v>
      </c>
      <c r="AT67" s="109" t="b">
        <v>1</v>
      </c>
      <c r="AU67" s="109" t="b">
        <v>1</v>
      </c>
      <c r="AV67" s="109" t="b">
        <v>1</v>
      </c>
      <c r="AW67" s="109" t="b">
        <v>1</v>
      </c>
      <c r="AX67" s="109" t="b">
        <v>1</v>
      </c>
      <c r="AY67" s="109" t="b">
        <v>1</v>
      </c>
      <c r="AZ67" s="109" t="b">
        <v>1</v>
      </c>
      <c r="BA67" s="109" t="b">
        <v>1</v>
      </c>
      <c r="BB67" s="109" t="b">
        <v>1</v>
      </c>
      <c r="BC67" s="109" t="b">
        <v>1</v>
      </c>
      <c r="BD67" s="109" t="b">
        <v>1</v>
      </c>
      <c r="BE67" s="109" t="b">
        <v>0</v>
      </c>
      <c r="BF67" s="109" t="b">
        <v>1</v>
      </c>
      <c r="BG67" s="109" t="b">
        <v>1</v>
      </c>
      <c r="BH67" s="109" t="b">
        <v>0</v>
      </c>
      <c r="BI67" s="109" t="b">
        <v>1</v>
      </c>
      <c r="BJ67" s="109" t="b">
        <v>1</v>
      </c>
      <c r="BK67" s="109" t="b">
        <v>1</v>
      </c>
      <c r="BL67" s="109" t="b">
        <v>1</v>
      </c>
      <c r="BM67" s="109" t="b">
        <v>1</v>
      </c>
      <c r="BN67" s="109" t="b">
        <v>1</v>
      </c>
      <c r="BO67" s="109" t="b">
        <v>1</v>
      </c>
      <c r="BP67" s="109" t="b">
        <v>1</v>
      </c>
      <c r="BQ67" s="109" t="b">
        <v>1</v>
      </c>
      <c r="BR67" s="109" t="b">
        <v>0</v>
      </c>
      <c r="BS67" s="109" t="b">
        <v>1</v>
      </c>
      <c r="BT67" s="109" t="b">
        <v>1</v>
      </c>
      <c r="BU67" s="109" t="b">
        <v>0</v>
      </c>
      <c r="BV67" s="109" t="b">
        <v>1</v>
      </c>
      <c r="BW67" s="109" t="b">
        <v>1</v>
      </c>
      <c r="BX67" s="109" t="b">
        <v>1</v>
      </c>
      <c r="BY67" s="109" t="b">
        <v>1</v>
      </c>
      <c r="BZ67" s="109" t="b">
        <v>1</v>
      </c>
      <c r="CA67" s="109" t="b">
        <v>1</v>
      </c>
      <c r="CB67" s="109" t="b">
        <v>1</v>
      </c>
      <c r="CC67" s="109" t="b">
        <v>1</v>
      </c>
      <c r="CD67" s="109" t="b">
        <v>1</v>
      </c>
      <c r="CE67" s="109" t="b">
        <v>1</v>
      </c>
      <c r="CF67" s="109" t="b">
        <v>1</v>
      </c>
      <c r="CG67" s="109" t="b">
        <v>1</v>
      </c>
      <c r="CH67" s="109" t="b">
        <v>1</v>
      </c>
      <c r="CI67" s="109" t="b">
        <v>0</v>
      </c>
      <c r="CJ67" s="109" t="b">
        <v>0</v>
      </c>
      <c r="CK67" s="109" t="b">
        <v>0</v>
      </c>
      <c r="CL67" s="109" t="b">
        <v>1</v>
      </c>
      <c r="CM67" s="109" t="b">
        <v>1</v>
      </c>
      <c r="CN67" s="109" t="b">
        <v>1</v>
      </c>
    </row>
    <row r="68">
      <c r="A68" s="123" t="s">
        <v>1103</v>
      </c>
      <c r="B68" s="109">
        <v>7.700880648E9</v>
      </c>
      <c r="C68" s="109" t="s">
        <v>1104</v>
      </c>
      <c r="D68" s="109" t="s">
        <v>725</v>
      </c>
      <c r="F68" s="109" t="b">
        <v>1</v>
      </c>
      <c r="G68" s="109" t="b">
        <v>1</v>
      </c>
      <c r="H68" s="109" t="b">
        <v>1</v>
      </c>
      <c r="I68" s="109" t="b">
        <v>1</v>
      </c>
      <c r="J68" s="109" t="b">
        <v>0</v>
      </c>
      <c r="K68" s="109" t="b">
        <v>0</v>
      </c>
      <c r="L68" s="109" t="b">
        <v>0</v>
      </c>
      <c r="M68" s="109" t="b">
        <v>1</v>
      </c>
      <c r="N68" s="109" t="b">
        <v>1</v>
      </c>
      <c r="O68" s="109" t="b">
        <v>1</v>
      </c>
      <c r="P68" s="109" t="b">
        <v>1</v>
      </c>
      <c r="Q68" s="109" t="b">
        <v>1</v>
      </c>
      <c r="R68" s="109" t="b">
        <v>1</v>
      </c>
      <c r="S68" s="109" t="b">
        <v>1</v>
      </c>
      <c r="T68" s="109" t="b">
        <v>1</v>
      </c>
      <c r="U68" s="109" t="b">
        <v>1</v>
      </c>
      <c r="V68" s="109" t="b">
        <v>0</v>
      </c>
      <c r="W68" s="109" t="b">
        <v>1</v>
      </c>
      <c r="X68" s="109" t="b">
        <v>1</v>
      </c>
      <c r="Y68" s="109" t="b">
        <v>1</v>
      </c>
      <c r="Z68" s="109" t="b">
        <v>1</v>
      </c>
      <c r="AA68" s="109" t="b">
        <v>1</v>
      </c>
      <c r="AB68" s="109" t="b">
        <v>1</v>
      </c>
      <c r="AC68" s="109" t="b">
        <v>1</v>
      </c>
      <c r="AD68" s="109" t="b">
        <v>1</v>
      </c>
      <c r="AE68" s="109" t="b">
        <v>1</v>
      </c>
      <c r="AF68" s="109" t="b">
        <v>1</v>
      </c>
      <c r="AG68" s="109" t="b">
        <v>1</v>
      </c>
      <c r="AH68" s="109" t="b">
        <v>1</v>
      </c>
      <c r="AI68" s="109" t="b">
        <v>0</v>
      </c>
      <c r="AJ68" s="109" t="b">
        <v>0</v>
      </c>
      <c r="AK68" s="109" t="b">
        <v>1</v>
      </c>
      <c r="AL68" s="109" t="b">
        <v>0</v>
      </c>
      <c r="AM68" s="109" t="b">
        <v>0</v>
      </c>
      <c r="AN68" s="109" t="b">
        <v>0</v>
      </c>
      <c r="AO68" s="109" t="b">
        <v>0</v>
      </c>
      <c r="AP68" s="109" t="b">
        <v>1</v>
      </c>
      <c r="AQ68" s="109" t="b">
        <v>1</v>
      </c>
      <c r="AR68" s="109" t="b">
        <v>1</v>
      </c>
      <c r="AS68" s="109" t="b">
        <v>0</v>
      </c>
      <c r="AT68" s="109" t="b">
        <v>0</v>
      </c>
      <c r="AU68" s="109" t="b">
        <v>0</v>
      </c>
      <c r="AV68" s="109" t="b">
        <v>1</v>
      </c>
      <c r="AW68" s="109" t="b">
        <v>1</v>
      </c>
      <c r="AX68" s="109" t="b">
        <v>1</v>
      </c>
      <c r="AY68" s="109" t="b">
        <v>1</v>
      </c>
      <c r="AZ68" s="109" t="b">
        <v>1</v>
      </c>
      <c r="BA68" s="109" t="b">
        <v>1</v>
      </c>
      <c r="BB68" s="109" t="b">
        <v>1</v>
      </c>
      <c r="BC68" s="109" t="b">
        <v>1</v>
      </c>
      <c r="BD68" s="109" t="b">
        <v>1</v>
      </c>
      <c r="BE68" s="109" t="b">
        <v>0</v>
      </c>
      <c r="BF68" s="109" t="b">
        <v>1</v>
      </c>
      <c r="BG68" s="109" t="b">
        <v>0</v>
      </c>
      <c r="BH68" s="109" t="b">
        <v>0</v>
      </c>
      <c r="BI68" s="109" t="b">
        <v>0</v>
      </c>
      <c r="BJ68" s="109" t="b">
        <v>0</v>
      </c>
      <c r="BK68" s="109" t="b">
        <v>0</v>
      </c>
      <c r="BL68" s="109" t="b">
        <v>0</v>
      </c>
      <c r="BM68" s="109" t="b">
        <v>0</v>
      </c>
      <c r="BN68" s="109" t="b">
        <v>0</v>
      </c>
      <c r="BO68" s="109" t="b">
        <v>0</v>
      </c>
      <c r="BP68" s="109" t="b">
        <v>1</v>
      </c>
      <c r="BQ68" s="109" t="b">
        <v>1</v>
      </c>
      <c r="BR68" s="109" t="b">
        <v>0</v>
      </c>
      <c r="BS68" s="109" t="b">
        <v>0</v>
      </c>
      <c r="BT68" s="109" t="b">
        <v>0</v>
      </c>
      <c r="BU68" s="109" t="b">
        <v>1</v>
      </c>
      <c r="BV68" s="109" t="b">
        <v>1</v>
      </c>
      <c r="BW68" s="109" t="b">
        <v>1</v>
      </c>
      <c r="BX68" s="109" t="b">
        <v>1</v>
      </c>
      <c r="BY68" s="109" t="b">
        <v>1</v>
      </c>
      <c r="BZ68" s="109" t="b">
        <v>1</v>
      </c>
      <c r="CA68" s="109" t="b">
        <v>1</v>
      </c>
      <c r="CB68" s="109" t="b">
        <v>1</v>
      </c>
      <c r="CC68" s="109" t="b">
        <v>1</v>
      </c>
      <c r="CD68" s="109" t="b">
        <v>1</v>
      </c>
      <c r="CE68" s="109" t="b">
        <v>1</v>
      </c>
      <c r="CF68" s="109" t="b">
        <v>1</v>
      </c>
      <c r="CG68" s="109" t="b">
        <v>0</v>
      </c>
      <c r="CH68" s="109" t="b">
        <v>1</v>
      </c>
      <c r="CI68" s="109" t="b">
        <v>1</v>
      </c>
      <c r="CJ68" s="109" t="b">
        <v>1</v>
      </c>
      <c r="CK68" s="109" t="b">
        <v>1</v>
      </c>
      <c r="CL68" s="109" t="b">
        <v>1</v>
      </c>
      <c r="CM68" s="109" t="b">
        <v>1</v>
      </c>
      <c r="CN68" s="109" t="b">
        <v>1</v>
      </c>
    </row>
    <row r="69">
      <c r="A69" s="123" t="s">
        <v>1105</v>
      </c>
      <c r="B69" s="109">
        <v>6.20117738E9</v>
      </c>
      <c r="C69" s="109" t="s">
        <v>1106</v>
      </c>
      <c r="D69" s="109" t="s">
        <v>725</v>
      </c>
      <c r="F69" s="109" t="b">
        <v>0</v>
      </c>
      <c r="G69" s="109" t="b">
        <v>0</v>
      </c>
      <c r="H69" s="109" t="b">
        <v>0</v>
      </c>
      <c r="I69" s="109" t="b">
        <v>1</v>
      </c>
      <c r="J69" s="109" t="b">
        <v>1</v>
      </c>
      <c r="K69" s="109" t="b">
        <v>0</v>
      </c>
      <c r="L69" s="109" t="b">
        <v>0</v>
      </c>
      <c r="M69" s="109" t="b">
        <v>1</v>
      </c>
      <c r="N69" s="109" t="b">
        <v>0</v>
      </c>
      <c r="O69" s="109" t="b">
        <v>0</v>
      </c>
      <c r="P69" s="109" t="b">
        <v>0</v>
      </c>
      <c r="Q69" s="109" t="b">
        <v>0</v>
      </c>
      <c r="R69" s="109" t="b">
        <v>0</v>
      </c>
      <c r="S69" s="109" t="b">
        <v>1</v>
      </c>
      <c r="T69" s="109" t="b">
        <v>0</v>
      </c>
      <c r="U69" s="109" t="b">
        <v>0</v>
      </c>
      <c r="V69" s="109" t="b">
        <v>0</v>
      </c>
      <c r="W69" s="109" t="b">
        <v>0</v>
      </c>
      <c r="X69" s="109" t="b">
        <v>0</v>
      </c>
      <c r="Y69" s="109" t="b">
        <v>0</v>
      </c>
      <c r="Z69" s="109" t="b">
        <v>0</v>
      </c>
      <c r="AA69" s="109" t="b">
        <v>0</v>
      </c>
      <c r="AB69" s="109" t="b">
        <v>0</v>
      </c>
      <c r="AC69" s="109" t="b">
        <v>0</v>
      </c>
      <c r="AD69" s="109" t="b">
        <v>0</v>
      </c>
      <c r="AE69" s="109" t="b">
        <v>0</v>
      </c>
      <c r="AF69" s="109" t="b">
        <v>0</v>
      </c>
      <c r="AG69" s="109" t="b">
        <v>0</v>
      </c>
      <c r="AH69" s="109" t="b">
        <v>0</v>
      </c>
      <c r="AI69" s="109" t="b">
        <v>0</v>
      </c>
      <c r="AJ69" s="109" t="b">
        <v>0</v>
      </c>
      <c r="AK69" s="109" t="b">
        <v>0</v>
      </c>
      <c r="AL69" s="109" t="b">
        <v>0</v>
      </c>
      <c r="AM69" s="109" t="b">
        <v>1</v>
      </c>
      <c r="AN69" s="109" t="b">
        <v>0</v>
      </c>
      <c r="AO69" s="109" t="b">
        <v>0</v>
      </c>
      <c r="AP69" s="109" t="b">
        <v>0</v>
      </c>
      <c r="AQ69" s="109" t="b">
        <v>0</v>
      </c>
      <c r="AR69" s="109" t="b">
        <v>0</v>
      </c>
      <c r="AS69" s="109" t="b">
        <v>0</v>
      </c>
      <c r="AT69" s="109" t="b">
        <v>0</v>
      </c>
      <c r="AU69" s="109" t="b">
        <v>0</v>
      </c>
      <c r="AV69" s="109" t="b">
        <v>0</v>
      </c>
      <c r="AW69" s="109" t="b">
        <v>0</v>
      </c>
      <c r="AX69" s="109" t="b">
        <v>0</v>
      </c>
      <c r="AY69" s="109" t="b">
        <v>0</v>
      </c>
      <c r="AZ69" s="109" t="b">
        <v>1</v>
      </c>
      <c r="BA69" s="109" t="b">
        <v>0</v>
      </c>
      <c r="BB69" s="109" t="b">
        <v>0</v>
      </c>
      <c r="BC69" s="109" t="b">
        <v>0</v>
      </c>
      <c r="BD69" s="109" t="b">
        <v>0</v>
      </c>
      <c r="BE69" s="109" t="b">
        <v>0</v>
      </c>
      <c r="BF69" s="109" t="b">
        <v>1</v>
      </c>
      <c r="BG69" s="109" t="b">
        <v>0</v>
      </c>
      <c r="BH69" s="109" t="b">
        <v>0</v>
      </c>
      <c r="BI69" s="109" t="b">
        <v>1</v>
      </c>
      <c r="BJ69" s="109" t="b">
        <v>1</v>
      </c>
      <c r="BK69" s="109" t="b">
        <v>1</v>
      </c>
      <c r="BL69" s="109" t="b">
        <v>1</v>
      </c>
      <c r="BM69" s="109" t="b">
        <v>1</v>
      </c>
      <c r="BN69" s="109" t="b">
        <v>1</v>
      </c>
      <c r="BO69" s="109" t="b">
        <v>0</v>
      </c>
      <c r="BP69" s="109" t="b">
        <v>1</v>
      </c>
      <c r="BQ69" s="109" t="b">
        <v>1</v>
      </c>
      <c r="BR69" s="109" t="b">
        <v>0</v>
      </c>
      <c r="BS69" s="109" t="b">
        <v>0</v>
      </c>
      <c r="BT69" s="109" t="b">
        <v>1</v>
      </c>
      <c r="BU69" s="109" t="b">
        <v>0</v>
      </c>
      <c r="BV69" s="109" t="b">
        <v>1</v>
      </c>
      <c r="BW69" s="109" t="b">
        <v>1</v>
      </c>
      <c r="BX69" s="109" t="b">
        <v>1</v>
      </c>
      <c r="BY69" s="109" t="b">
        <v>1</v>
      </c>
      <c r="BZ69" s="109" t="b">
        <v>1</v>
      </c>
      <c r="CA69" s="109" t="b">
        <v>0</v>
      </c>
      <c r="CB69" s="109" t="b">
        <v>0</v>
      </c>
      <c r="CC69" s="109" t="b">
        <v>0</v>
      </c>
      <c r="CD69" s="109" t="b">
        <v>1</v>
      </c>
      <c r="CE69" s="109" t="b">
        <v>1</v>
      </c>
      <c r="CF69" s="109" t="b">
        <v>1</v>
      </c>
      <c r="CG69" s="109" t="b">
        <v>1</v>
      </c>
      <c r="CH69" s="109" t="b">
        <v>1</v>
      </c>
      <c r="CI69" s="109" t="b">
        <v>1</v>
      </c>
      <c r="CJ69" s="109" t="b">
        <v>1</v>
      </c>
      <c r="CK69" s="109" t="b">
        <v>0</v>
      </c>
      <c r="CL69" s="109" t="b">
        <v>0</v>
      </c>
      <c r="CM69" s="109" t="b">
        <v>1</v>
      </c>
      <c r="CN69" s="109" t="b">
        <v>1</v>
      </c>
    </row>
    <row r="70">
      <c r="A70" s="109" t="s">
        <v>1107</v>
      </c>
      <c r="B70" s="109">
        <v>9.142869435E9</v>
      </c>
      <c r="C70" s="109" t="s">
        <v>1108</v>
      </c>
      <c r="D70" s="109" t="s">
        <v>725</v>
      </c>
      <c r="F70" s="109" t="b">
        <v>0</v>
      </c>
      <c r="G70" s="109" t="b">
        <v>0</v>
      </c>
      <c r="H70" s="109" t="b">
        <v>1</v>
      </c>
      <c r="I70" s="109" t="b">
        <v>0</v>
      </c>
      <c r="J70" s="109" t="b">
        <v>1</v>
      </c>
      <c r="K70" s="109" t="b">
        <v>1</v>
      </c>
      <c r="L70" s="109" t="b">
        <v>1</v>
      </c>
      <c r="M70" s="109" t="b">
        <v>1</v>
      </c>
      <c r="N70" s="109" t="b">
        <v>1</v>
      </c>
      <c r="O70" s="109" t="b">
        <v>1</v>
      </c>
      <c r="P70" s="109" t="b">
        <v>1</v>
      </c>
      <c r="Q70" s="109" t="b">
        <v>0</v>
      </c>
      <c r="R70" s="109" t="b">
        <v>1</v>
      </c>
      <c r="S70" s="109" t="b">
        <v>1</v>
      </c>
      <c r="T70" s="109" t="b">
        <v>1</v>
      </c>
      <c r="U70" s="109" t="b">
        <v>1</v>
      </c>
      <c r="V70" s="109" t="b">
        <v>1</v>
      </c>
      <c r="W70" s="109" t="b">
        <v>1</v>
      </c>
      <c r="X70" s="109" t="b">
        <v>0</v>
      </c>
      <c r="Y70" s="109" t="b">
        <v>0</v>
      </c>
      <c r="Z70" s="109" t="b">
        <v>1</v>
      </c>
      <c r="AA70" s="109" t="b">
        <v>1</v>
      </c>
      <c r="AB70" s="109" t="b">
        <v>0</v>
      </c>
      <c r="AC70" s="109" t="b">
        <v>1</v>
      </c>
      <c r="AD70" s="109" t="b">
        <v>1</v>
      </c>
      <c r="AE70" s="109" t="b">
        <v>1</v>
      </c>
      <c r="AF70" s="109" t="b">
        <v>1</v>
      </c>
      <c r="AG70" s="109" t="b">
        <v>1</v>
      </c>
      <c r="AH70" s="109" t="b">
        <v>1</v>
      </c>
      <c r="AI70" s="109" t="b">
        <v>0</v>
      </c>
      <c r="AJ70" s="109" t="b">
        <v>1</v>
      </c>
      <c r="AK70" s="109" t="b">
        <v>1</v>
      </c>
      <c r="AL70" s="109" t="b">
        <v>1</v>
      </c>
      <c r="AM70" s="109" t="b">
        <v>1</v>
      </c>
      <c r="AN70" s="109" t="b">
        <v>1</v>
      </c>
      <c r="AO70" s="109" t="b">
        <v>1</v>
      </c>
      <c r="AP70" s="109" t="b">
        <v>0</v>
      </c>
      <c r="AQ70" s="109" t="b">
        <v>1</v>
      </c>
      <c r="AR70" s="109" t="b">
        <v>1</v>
      </c>
      <c r="AS70" s="109" t="b">
        <v>1</v>
      </c>
      <c r="AT70" s="109" t="b">
        <v>1</v>
      </c>
      <c r="AU70" s="109" t="b">
        <v>1</v>
      </c>
      <c r="AV70" s="109" t="b">
        <v>1</v>
      </c>
      <c r="AW70" s="109" t="b">
        <v>1</v>
      </c>
      <c r="AX70" s="109" t="b">
        <v>1</v>
      </c>
      <c r="AY70" s="109" t="b">
        <v>1</v>
      </c>
      <c r="AZ70" s="109" t="b">
        <v>0</v>
      </c>
      <c r="BA70" s="109" t="b">
        <v>1</v>
      </c>
      <c r="BB70" s="109" t="b">
        <v>1</v>
      </c>
      <c r="BC70" s="109" t="b">
        <v>1</v>
      </c>
      <c r="BD70" s="109" t="b">
        <v>0</v>
      </c>
      <c r="BE70" s="109" t="b">
        <v>0</v>
      </c>
      <c r="BF70" s="109" t="b">
        <v>0</v>
      </c>
      <c r="BG70" s="109" t="b">
        <v>1</v>
      </c>
      <c r="BH70" s="109" t="b">
        <v>1</v>
      </c>
      <c r="BI70" s="109" t="b">
        <v>1</v>
      </c>
      <c r="BJ70" s="109" t="b">
        <v>1</v>
      </c>
      <c r="BK70" s="109" t="b">
        <v>1</v>
      </c>
      <c r="BL70" s="109" t="b">
        <v>1</v>
      </c>
      <c r="BM70" s="109" t="b">
        <v>0</v>
      </c>
      <c r="BN70" s="109" t="b">
        <v>1</v>
      </c>
      <c r="BO70" s="109" t="b">
        <v>1</v>
      </c>
      <c r="BP70" s="109" t="b">
        <v>1</v>
      </c>
      <c r="BQ70" s="109" t="b">
        <v>1</v>
      </c>
      <c r="BR70" s="109" t="b">
        <v>1</v>
      </c>
      <c r="BS70" s="109" t="b">
        <v>1</v>
      </c>
      <c r="BT70" s="109" t="b">
        <v>1</v>
      </c>
      <c r="BU70" s="109" t="b">
        <v>1</v>
      </c>
      <c r="BV70" s="109" t="b">
        <v>1</v>
      </c>
      <c r="BW70" s="109" t="b">
        <v>1</v>
      </c>
      <c r="BX70" s="109" t="b">
        <v>1</v>
      </c>
      <c r="BY70" s="109" t="b">
        <v>1</v>
      </c>
      <c r="BZ70" s="109" t="b">
        <v>1</v>
      </c>
      <c r="CA70" s="109" t="b">
        <v>1</v>
      </c>
      <c r="CB70" s="109" t="b">
        <v>1</v>
      </c>
      <c r="CC70" s="109" t="b">
        <v>1</v>
      </c>
      <c r="CD70" s="109" t="b">
        <v>1</v>
      </c>
      <c r="CE70" s="109" t="b">
        <v>0</v>
      </c>
      <c r="CF70" s="109" t="b">
        <v>1</v>
      </c>
      <c r="CG70" s="109" t="b">
        <v>1</v>
      </c>
      <c r="CH70" s="109" t="b">
        <v>1</v>
      </c>
      <c r="CI70" s="109" t="b">
        <v>1</v>
      </c>
      <c r="CJ70" s="109" t="b">
        <v>1</v>
      </c>
      <c r="CK70" s="109" t="b">
        <v>1</v>
      </c>
      <c r="CL70" s="109" t="b">
        <v>1</v>
      </c>
      <c r="CM70" s="109" t="b">
        <v>1</v>
      </c>
      <c r="CN70" s="109" t="b">
        <v>1</v>
      </c>
    </row>
    <row r="71">
      <c r="A71" s="109" t="s">
        <v>1109</v>
      </c>
      <c r="B71" s="109">
        <v>9.334319735E9</v>
      </c>
      <c r="C71" s="109" t="s">
        <v>1110</v>
      </c>
      <c r="D71" s="109" t="s">
        <v>725</v>
      </c>
      <c r="F71" s="109" t="b">
        <v>0</v>
      </c>
      <c r="G71" s="109" t="b">
        <v>0</v>
      </c>
      <c r="H71" s="109" t="b">
        <v>0</v>
      </c>
      <c r="I71" s="109" t="b">
        <v>0</v>
      </c>
      <c r="J71" s="109" t="b">
        <v>0</v>
      </c>
      <c r="K71" s="109" t="b">
        <v>0</v>
      </c>
      <c r="L71" s="109" t="b">
        <v>0</v>
      </c>
      <c r="M71" s="109" t="b">
        <v>0</v>
      </c>
      <c r="N71" s="109" t="b">
        <v>0</v>
      </c>
      <c r="O71" s="109" t="b">
        <v>0</v>
      </c>
      <c r="P71" s="109" t="b">
        <v>0</v>
      </c>
      <c r="Q71" s="109" t="b">
        <v>0</v>
      </c>
      <c r="R71" s="109" t="b">
        <v>0</v>
      </c>
      <c r="S71" s="109" t="b">
        <v>0</v>
      </c>
      <c r="T71" s="109" t="b">
        <v>0</v>
      </c>
      <c r="U71" s="109" t="b">
        <v>0</v>
      </c>
      <c r="V71" s="109" t="b">
        <v>0</v>
      </c>
      <c r="W71" s="109" t="b">
        <v>0</v>
      </c>
      <c r="X71" s="109" t="b">
        <v>0</v>
      </c>
      <c r="Y71" s="109" t="b">
        <v>0</v>
      </c>
      <c r="Z71" s="109" t="b">
        <v>0</v>
      </c>
      <c r="AA71" s="109" t="b">
        <v>0</v>
      </c>
      <c r="AB71" s="109" t="b">
        <v>0</v>
      </c>
      <c r="AC71" s="109" t="b">
        <v>0</v>
      </c>
      <c r="AD71" s="109" t="b">
        <v>0</v>
      </c>
      <c r="AE71" s="109" t="b">
        <v>0</v>
      </c>
      <c r="AF71" s="109" t="b">
        <v>0</v>
      </c>
      <c r="AG71" s="109" t="b">
        <v>0</v>
      </c>
      <c r="AH71" s="109" t="b">
        <v>0</v>
      </c>
      <c r="AI71" s="109" t="b">
        <v>0</v>
      </c>
      <c r="AJ71" s="109" t="b">
        <v>0</v>
      </c>
      <c r="AK71" s="109" t="b">
        <v>0</v>
      </c>
      <c r="AL71" s="109" t="b">
        <v>0</v>
      </c>
      <c r="AM71" s="109" t="b">
        <v>0</v>
      </c>
      <c r="AN71" s="109" t="b">
        <v>0</v>
      </c>
      <c r="AO71" s="109" t="b">
        <v>0</v>
      </c>
      <c r="AP71" s="109" t="b">
        <v>0</v>
      </c>
      <c r="AQ71" s="109" t="b">
        <v>0</v>
      </c>
      <c r="AR71" s="109" t="b">
        <v>0</v>
      </c>
      <c r="AS71" s="109" t="b">
        <v>0</v>
      </c>
      <c r="AT71" s="109" t="b">
        <v>0</v>
      </c>
      <c r="AU71" s="109" t="b">
        <v>0</v>
      </c>
      <c r="AV71" s="109" t="b">
        <v>0</v>
      </c>
      <c r="AW71" s="109" t="b">
        <v>0</v>
      </c>
      <c r="AX71" s="109" t="b">
        <v>0</v>
      </c>
      <c r="AY71" s="109" t="b">
        <v>0</v>
      </c>
      <c r="AZ71" s="109" t="b">
        <v>0</v>
      </c>
      <c r="BA71" s="109" t="b">
        <v>0</v>
      </c>
      <c r="BB71" s="109" t="b">
        <v>0</v>
      </c>
      <c r="BC71" s="109" t="b">
        <v>0</v>
      </c>
      <c r="BD71" s="109" t="b">
        <v>0</v>
      </c>
      <c r="BE71" s="109" t="b">
        <v>0</v>
      </c>
      <c r="BF71" s="109" t="b">
        <v>0</v>
      </c>
      <c r="BG71" s="109" t="b">
        <v>0</v>
      </c>
      <c r="BH71" s="109" t="b">
        <v>0</v>
      </c>
      <c r="BI71" s="109" t="b">
        <v>0</v>
      </c>
      <c r="BJ71" s="109" t="b">
        <v>0</v>
      </c>
      <c r="BK71" s="109" t="b">
        <v>0</v>
      </c>
      <c r="BL71" s="109" t="b">
        <v>0</v>
      </c>
      <c r="BM71" s="109" t="b">
        <v>0</v>
      </c>
      <c r="BN71" s="109" t="b">
        <v>0</v>
      </c>
      <c r="BO71" s="109" t="b">
        <v>0</v>
      </c>
      <c r="BP71" s="109" t="b">
        <v>0</v>
      </c>
      <c r="BQ71" s="109" t="b">
        <v>0</v>
      </c>
      <c r="BR71" s="109" t="b">
        <v>0</v>
      </c>
      <c r="BS71" s="109" t="b">
        <v>0</v>
      </c>
      <c r="BT71" s="109" t="b">
        <v>0</v>
      </c>
      <c r="BU71" s="109" t="b">
        <v>0</v>
      </c>
      <c r="BV71" s="109" t="b">
        <v>0</v>
      </c>
      <c r="BW71" s="109" t="b">
        <v>0</v>
      </c>
      <c r="BX71" s="109" t="b">
        <v>0</v>
      </c>
      <c r="BY71" s="109" t="b">
        <v>0</v>
      </c>
      <c r="BZ71" s="109" t="b">
        <v>0</v>
      </c>
      <c r="CA71" s="109" t="b">
        <v>0</v>
      </c>
      <c r="CB71" s="109" t="b">
        <v>0</v>
      </c>
      <c r="CC71" s="109" t="b">
        <v>0</v>
      </c>
      <c r="CD71" s="109" t="b">
        <v>0</v>
      </c>
      <c r="CE71" s="109" t="b">
        <v>0</v>
      </c>
      <c r="CF71" s="109" t="b">
        <v>0</v>
      </c>
      <c r="CG71" s="109" t="b">
        <v>0</v>
      </c>
      <c r="CH71" s="109" t="b">
        <v>0</v>
      </c>
      <c r="CI71" s="109" t="b">
        <v>0</v>
      </c>
      <c r="CJ71" s="109" t="b">
        <v>0</v>
      </c>
      <c r="CK71" s="109" t="b">
        <v>0</v>
      </c>
      <c r="CL71" s="109" t="b">
        <v>0</v>
      </c>
      <c r="CM71" s="109" t="b">
        <v>0</v>
      </c>
      <c r="CN71" s="109" t="b">
        <v>1</v>
      </c>
    </row>
    <row r="72">
      <c r="A72" s="109" t="s">
        <v>1111</v>
      </c>
      <c r="B72" s="109">
        <v>7.348074059E9</v>
      </c>
      <c r="C72" s="109" t="s">
        <v>1112</v>
      </c>
      <c r="D72" s="109" t="s">
        <v>725</v>
      </c>
      <c r="F72" s="109" t="b">
        <v>0</v>
      </c>
      <c r="G72" s="109" t="b">
        <v>1</v>
      </c>
      <c r="H72" s="109" t="b">
        <v>1</v>
      </c>
      <c r="I72" s="109" t="b">
        <v>1</v>
      </c>
      <c r="J72" s="109" t="b">
        <v>1</v>
      </c>
      <c r="K72" s="109" t="b">
        <v>1</v>
      </c>
      <c r="L72" s="109" t="b">
        <v>1</v>
      </c>
      <c r="M72" s="109" t="b">
        <v>1</v>
      </c>
      <c r="N72" s="109" t="b">
        <v>1</v>
      </c>
      <c r="O72" s="109" t="b">
        <v>1</v>
      </c>
      <c r="P72" s="109" t="b">
        <v>1</v>
      </c>
      <c r="Q72" s="109" t="b">
        <v>1</v>
      </c>
      <c r="R72" s="109" t="b">
        <v>1</v>
      </c>
      <c r="S72" s="109" t="b">
        <v>1</v>
      </c>
      <c r="T72" s="109" t="b">
        <v>1</v>
      </c>
      <c r="U72" s="109" t="b">
        <v>1</v>
      </c>
      <c r="V72" s="109" t="b">
        <v>1</v>
      </c>
      <c r="W72" s="109" t="b">
        <v>0</v>
      </c>
      <c r="X72" s="109" t="b">
        <v>1</v>
      </c>
      <c r="Y72" s="109" t="b">
        <v>1</v>
      </c>
      <c r="Z72" s="109" t="b">
        <v>0</v>
      </c>
      <c r="AA72" s="109" t="b">
        <v>0</v>
      </c>
      <c r="AB72" s="109" t="b">
        <v>0</v>
      </c>
      <c r="AC72" s="109" t="b">
        <v>0</v>
      </c>
      <c r="AD72" s="109" t="b">
        <v>0</v>
      </c>
      <c r="AE72" s="109" t="b">
        <v>0</v>
      </c>
      <c r="AF72" s="109" t="b">
        <v>0</v>
      </c>
      <c r="AG72" s="109" t="b">
        <v>0</v>
      </c>
      <c r="AH72" s="109" t="b">
        <v>0</v>
      </c>
      <c r="AI72" s="109" t="b">
        <v>0</v>
      </c>
      <c r="AJ72" s="109" t="b">
        <v>0</v>
      </c>
      <c r="AK72" s="109" t="b">
        <v>0</v>
      </c>
      <c r="AL72" s="109" t="b">
        <v>0</v>
      </c>
      <c r="AM72" s="109" t="b">
        <v>1</v>
      </c>
      <c r="AN72" s="109" t="b">
        <v>0</v>
      </c>
      <c r="AO72" s="109" t="b">
        <v>0</v>
      </c>
      <c r="AP72" s="109" t="b">
        <v>0</v>
      </c>
      <c r="AQ72" s="109" t="b">
        <v>0</v>
      </c>
      <c r="AR72" s="109" t="b">
        <v>0</v>
      </c>
      <c r="AS72" s="109" t="b">
        <v>0</v>
      </c>
      <c r="AT72" s="109" t="b">
        <v>0</v>
      </c>
      <c r="AU72" s="109" t="b">
        <v>1</v>
      </c>
      <c r="AV72" s="109" t="b">
        <v>1</v>
      </c>
      <c r="AW72" s="109" t="b">
        <v>0</v>
      </c>
      <c r="AX72" s="109" t="b">
        <v>0</v>
      </c>
      <c r="AY72" s="109" t="b">
        <v>0</v>
      </c>
      <c r="AZ72" s="109" t="b">
        <v>1</v>
      </c>
      <c r="BA72" s="109" t="b">
        <v>1</v>
      </c>
      <c r="BB72" s="109" t="b">
        <v>0</v>
      </c>
      <c r="BC72" s="109" t="b">
        <v>0</v>
      </c>
      <c r="BD72" s="109" t="b">
        <v>0</v>
      </c>
      <c r="BE72" s="109" t="b">
        <v>0</v>
      </c>
      <c r="BF72" s="109" t="b">
        <v>1</v>
      </c>
      <c r="BG72" s="109" t="b">
        <v>1</v>
      </c>
      <c r="BH72" s="109" t="b">
        <v>0</v>
      </c>
      <c r="BI72" s="109" t="b">
        <v>0</v>
      </c>
      <c r="BJ72" s="109" t="b">
        <v>1</v>
      </c>
      <c r="BK72" s="109" t="b">
        <v>1</v>
      </c>
      <c r="BL72" s="109" t="b">
        <v>0</v>
      </c>
      <c r="BM72" s="109" t="b">
        <v>0</v>
      </c>
      <c r="BN72" s="109" t="b">
        <v>1</v>
      </c>
      <c r="BO72" s="109" t="b">
        <v>1</v>
      </c>
      <c r="BP72" s="109" t="b">
        <v>1</v>
      </c>
      <c r="BQ72" s="109" t="b">
        <v>1</v>
      </c>
      <c r="BR72" s="109" t="b">
        <v>0</v>
      </c>
      <c r="BS72" s="109" t="b">
        <v>0</v>
      </c>
      <c r="BT72" s="109" t="b">
        <v>1</v>
      </c>
      <c r="BU72" s="109" t="b">
        <v>1</v>
      </c>
      <c r="BV72" s="109" t="b">
        <v>1</v>
      </c>
      <c r="BW72" s="109" t="b">
        <v>1</v>
      </c>
      <c r="BX72" s="109" t="b">
        <v>0</v>
      </c>
      <c r="BY72" s="109" t="b">
        <v>0</v>
      </c>
      <c r="BZ72" s="109" t="b">
        <v>0</v>
      </c>
      <c r="CA72" s="109" t="b">
        <v>1</v>
      </c>
      <c r="CB72" s="109" t="b">
        <v>1</v>
      </c>
      <c r="CC72" s="109" t="b">
        <v>1</v>
      </c>
      <c r="CD72" s="109" t="b">
        <v>1</v>
      </c>
      <c r="CE72" s="109" t="b">
        <v>1</v>
      </c>
      <c r="CF72" s="109" t="b">
        <v>1</v>
      </c>
      <c r="CG72" s="109" t="b">
        <v>1</v>
      </c>
      <c r="CH72" s="109" t="b">
        <v>0</v>
      </c>
      <c r="CI72" s="109" t="b">
        <v>0</v>
      </c>
      <c r="CJ72" s="109" t="b">
        <v>0</v>
      </c>
      <c r="CK72" s="109" t="b">
        <v>1</v>
      </c>
      <c r="CL72" s="109" t="b">
        <v>1</v>
      </c>
      <c r="CM72" s="109" t="b">
        <v>1</v>
      </c>
      <c r="CN72" s="109" t="b">
        <v>1</v>
      </c>
    </row>
    <row r="73">
      <c r="A73" s="123" t="s">
        <v>1113</v>
      </c>
      <c r="B73" s="123" t="s">
        <v>1114</v>
      </c>
      <c r="C73" s="109" t="s">
        <v>1115</v>
      </c>
      <c r="D73" s="109" t="s">
        <v>725</v>
      </c>
      <c r="F73" s="109" t="b">
        <v>1</v>
      </c>
      <c r="G73" s="109" t="b">
        <v>1</v>
      </c>
      <c r="H73" s="109" t="b">
        <v>0</v>
      </c>
      <c r="I73" s="109" t="b">
        <v>0</v>
      </c>
      <c r="J73" s="109" t="b">
        <v>1</v>
      </c>
      <c r="K73" s="109" t="b">
        <v>1</v>
      </c>
      <c r="L73" s="109" t="b">
        <v>0</v>
      </c>
      <c r="M73" s="109" t="b">
        <v>0</v>
      </c>
      <c r="N73" s="109" t="b">
        <v>1</v>
      </c>
      <c r="O73" s="109" t="b">
        <v>1</v>
      </c>
      <c r="P73" s="109" t="b">
        <v>0</v>
      </c>
      <c r="Q73" s="109" t="b">
        <v>1</v>
      </c>
      <c r="R73" s="109" t="b">
        <v>1</v>
      </c>
      <c r="S73" s="109" t="b">
        <v>1</v>
      </c>
      <c r="T73" s="109" t="b">
        <v>1</v>
      </c>
      <c r="U73" s="109" t="b">
        <v>1</v>
      </c>
      <c r="V73" s="109" t="b">
        <v>1</v>
      </c>
      <c r="W73" s="109" t="b">
        <v>1</v>
      </c>
      <c r="X73" s="109" t="b">
        <v>0</v>
      </c>
      <c r="Y73" s="109" t="b">
        <v>0</v>
      </c>
      <c r="Z73" s="109" t="b">
        <v>1</v>
      </c>
      <c r="AA73" s="109" t="b">
        <v>0</v>
      </c>
      <c r="AB73" s="109" t="b">
        <v>1</v>
      </c>
      <c r="AC73" s="109" t="b">
        <v>1</v>
      </c>
      <c r="AD73" s="109" t="b">
        <v>1</v>
      </c>
      <c r="AE73" s="109" t="b">
        <v>1</v>
      </c>
      <c r="AF73" s="109" t="b">
        <v>1</v>
      </c>
      <c r="AG73" s="109" t="b">
        <v>0</v>
      </c>
      <c r="AH73" s="109" t="b">
        <v>0</v>
      </c>
      <c r="AI73" s="109" t="b">
        <v>1</v>
      </c>
      <c r="AJ73" s="109" t="b">
        <v>1</v>
      </c>
      <c r="AK73" s="109" t="b">
        <v>1</v>
      </c>
      <c r="AL73" s="109" t="b">
        <v>1</v>
      </c>
      <c r="AM73" s="109" t="b">
        <v>1</v>
      </c>
      <c r="AN73" s="109" t="b">
        <v>0</v>
      </c>
      <c r="AO73" s="109" t="b">
        <v>0</v>
      </c>
      <c r="AP73" s="109" t="b">
        <v>0</v>
      </c>
      <c r="AQ73" s="109" t="b">
        <v>1</v>
      </c>
      <c r="AR73" s="109" t="b">
        <v>1</v>
      </c>
      <c r="AS73" s="109" t="b">
        <v>1</v>
      </c>
      <c r="AT73" s="109" t="b">
        <v>1</v>
      </c>
      <c r="AU73" s="109" t="b">
        <v>1</v>
      </c>
      <c r="AV73" s="109" t="b">
        <v>1</v>
      </c>
      <c r="AW73" s="109" t="b">
        <v>1</v>
      </c>
      <c r="AX73" s="109" t="b">
        <v>1</v>
      </c>
      <c r="AY73" s="109" t="b">
        <v>1</v>
      </c>
      <c r="AZ73" s="109" t="b">
        <v>1</v>
      </c>
      <c r="BA73" s="109" t="b">
        <v>1</v>
      </c>
      <c r="BB73" s="109" t="b">
        <v>1</v>
      </c>
      <c r="BC73" s="109" t="b">
        <v>1</v>
      </c>
      <c r="BD73" s="109" t="b">
        <v>1</v>
      </c>
      <c r="BE73" s="109" t="b">
        <v>0</v>
      </c>
      <c r="BF73" s="109" t="b">
        <v>1</v>
      </c>
      <c r="BG73" s="109" t="b">
        <v>1</v>
      </c>
      <c r="BH73" s="109" t="b">
        <v>1</v>
      </c>
      <c r="BI73" s="109" t="b">
        <v>1</v>
      </c>
      <c r="BJ73" s="109" t="b">
        <v>1</v>
      </c>
      <c r="BK73" s="109" t="b">
        <v>1</v>
      </c>
      <c r="BL73" s="109" t="b">
        <v>1</v>
      </c>
      <c r="BM73" s="109" t="b">
        <v>1</v>
      </c>
      <c r="BN73" s="109" t="b">
        <v>0</v>
      </c>
      <c r="BO73" s="109" t="b">
        <v>1</v>
      </c>
      <c r="BP73" s="109" t="b">
        <v>1</v>
      </c>
      <c r="BQ73" s="109" t="b">
        <v>1</v>
      </c>
      <c r="BR73" s="109" t="b">
        <v>0</v>
      </c>
      <c r="BS73" s="109" t="b">
        <v>0</v>
      </c>
      <c r="BT73" s="109" t="b">
        <v>0</v>
      </c>
      <c r="BU73" s="109" t="b">
        <v>1</v>
      </c>
      <c r="BV73" s="109" t="b">
        <v>1</v>
      </c>
      <c r="BW73" s="109" t="b">
        <v>1</v>
      </c>
      <c r="BX73" s="109" t="b">
        <v>1</v>
      </c>
      <c r="BY73" s="109" t="b">
        <v>1</v>
      </c>
      <c r="BZ73" s="109" t="b">
        <v>1</v>
      </c>
      <c r="CA73" s="109" t="b">
        <v>1</v>
      </c>
      <c r="CB73" s="109" t="b">
        <v>1</v>
      </c>
      <c r="CC73" s="109" t="b">
        <v>1</v>
      </c>
      <c r="CD73" s="109" t="b">
        <v>1</v>
      </c>
      <c r="CE73" s="109" t="b">
        <v>1</v>
      </c>
      <c r="CF73" s="109" t="b">
        <v>1</v>
      </c>
      <c r="CG73" s="109" t="b">
        <v>0</v>
      </c>
      <c r="CH73" s="109" t="b">
        <v>0</v>
      </c>
      <c r="CI73" s="109" t="b">
        <v>1</v>
      </c>
      <c r="CJ73" s="109" t="b">
        <v>1</v>
      </c>
      <c r="CK73" s="109" t="b">
        <v>0</v>
      </c>
      <c r="CL73" s="109" t="b">
        <v>0</v>
      </c>
      <c r="CM73" s="109" t="b">
        <v>0</v>
      </c>
      <c r="CN73" s="109" t="b">
        <v>0</v>
      </c>
    </row>
    <row r="74">
      <c r="A74" s="111" t="s">
        <v>1116</v>
      </c>
      <c r="B74" s="111" t="s">
        <v>1117</v>
      </c>
      <c r="C74" s="111" t="s">
        <v>1118</v>
      </c>
      <c r="D74" s="111" t="s">
        <v>725</v>
      </c>
      <c r="E74" s="112"/>
      <c r="F74" s="111" t="b">
        <v>0</v>
      </c>
      <c r="G74" s="111" t="b">
        <v>0</v>
      </c>
      <c r="H74" s="111" t="b">
        <v>0</v>
      </c>
      <c r="I74" s="111" t="b">
        <v>0</v>
      </c>
      <c r="J74" s="111" t="b">
        <v>0</v>
      </c>
      <c r="K74" s="111" t="b">
        <v>0</v>
      </c>
      <c r="L74" s="111" t="b">
        <v>0</v>
      </c>
      <c r="M74" s="111" t="b">
        <v>0</v>
      </c>
      <c r="N74" s="111" t="b">
        <v>0</v>
      </c>
      <c r="O74" s="111" t="b">
        <v>0</v>
      </c>
      <c r="P74" s="111" t="b">
        <v>0</v>
      </c>
      <c r="Q74" s="111" t="b">
        <v>0</v>
      </c>
      <c r="R74" s="111" t="b">
        <v>0</v>
      </c>
      <c r="S74" s="111" t="b">
        <v>0</v>
      </c>
      <c r="T74" s="111" t="b">
        <v>0</v>
      </c>
      <c r="U74" s="111" t="b">
        <v>0</v>
      </c>
      <c r="V74" s="111" t="b">
        <v>0</v>
      </c>
      <c r="W74" s="111" t="b">
        <v>0</v>
      </c>
      <c r="X74" s="111" t="b">
        <v>0</v>
      </c>
      <c r="Y74" s="111" t="b">
        <v>0</v>
      </c>
      <c r="Z74" s="111" t="b">
        <v>0</v>
      </c>
      <c r="AA74" s="111" t="b">
        <v>0</v>
      </c>
      <c r="AB74" s="111" t="b">
        <v>0</v>
      </c>
      <c r="AC74" s="111" t="b">
        <v>0</v>
      </c>
      <c r="AD74" s="111" t="b">
        <v>0</v>
      </c>
      <c r="AE74" s="111" t="b">
        <v>0</v>
      </c>
      <c r="AF74" s="111" t="b">
        <v>0</v>
      </c>
      <c r="AG74" s="111" t="b">
        <v>0</v>
      </c>
      <c r="AH74" s="111" t="b">
        <v>0</v>
      </c>
      <c r="AI74" s="111" t="b">
        <v>0</v>
      </c>
      <c r="AJ74" s="111" t="b">
        <v>0</v>
      </c>
      <c r="AK74" s="111" t="b">
        <v>0</v>
      </c>
      <c r="AL74" s="111" t="b">
        <v>0</v>
      </c>
      <c r="AM74" s="111" t="b">
        <v>0</v>
      </c>
      <c r="AN74" s="111" t="b">
        <v>0</v>
      </c>
      <c r="AO74" s="111" t="b">
        <v>0</v>
      </c>
      <c r="AP74" s="111" t="b">
        <v>0</v>
      </c>
      <c r="AQ74" s="111" t="b">
        <v>0</v>
      </c>
      <c r="AR74" s="111" t="b">
        <v>0</v>
      </c>
      <c r="AS74" s="111" t="b">
        <v>0</v>
      </c>
      <c r="AT74" s="111" t="b">
        <v>0</v>
      </c>
      <c r="AU74" s="111" t="b">
        <v>0</v>
      </c>
      <c r="AV74" s="111" t="b">
        <v>0</v>
      </c>
      <c r="AW74" s="111" t="b">
        <v>0</v>
      </c>
      <c r="AX74" s="111" t="b">
        <v>0</v>
      </c>
      <c r="AY74" s="111" t="b">
        <v>0</v>
      </c>
      <c r="AZ74" s="111" t="b">
        <v>0</v>
      </c>
      <c r="BA74" s="111" t="b">
        <v>0</v>
      </c>
      <c r="BB74" s="111" t="b">
        <v>0</v>
      </c>
      <c r="BC74" s="111" t="b">
        <v>0</v>
      </c>
      <c r="BD74" s="111" t="b">
        <v>0</v>
      </c>
      <c r="BE74" s="111" t="b">
        <v>0</v>
      </c>
      <c r="BF74" s="111" t="b">
        <v>0</v>
      </c>
      <c r="BG74" s="111" t="b">
        <v>0</v>
      </c>
      <c r="BH74" s="111" t="b">
        <v>0</v>
      </c>
      <c r="BI74" s="111" t="b">
        <v>0</v>
      </c>
      <c r="BJ74" s="111" t="b">
        <v>0</v>
      </c>
      <c r="BK74" s="111" t="b">
        <v>0</v>
      </c>
      <c r="BL74" s="111" t="b">
        <v>0</v>
      </c>
      <c r="BM74" s="111" t="b">
        <v>0</v>
      </c>
      <c r="BN74" s="111" t="b">
        <v>0</v>
      </c>
      <c r="BO74" s="111" t="b">
        <v>0</v>
      </c>
      <c r="BP74" s="111" t="b">
        <v>0</v>
      </c>
      <c r="BQ74" s="111" t="b">
        <v>0</v>
      </c>
      <c r="BR74" s="111" t="b">
        <v>0</v>
      </c>
      <c r="BS74" s="111" t="b">
        <v>0</v>
      </c>
      <c r="BT74" s="111" t="b">
        <v>0</v>
      </c>
      <c r="BU74" s="111" t="b">
        <v>0</v>
      </c>
      <c r="BV74" s="111" t="b">
        <v>0</v>
      </c>
      <c r="BW74" s="111" t="b">
        <v>0</v>
      </c>
      <c r="BX74" s="111" t="b">
        <v>0</v>
      </c>
      <c r="BY74" s="111" t="b">
        <v>0</v>
      </c>
      <c r="BZ74" s="111" t="b">
        <v>0</v>
      </c>
      <c r="CA74" s="111" t="b">
        <v>1</v>
      </c>
      <c r="CB74" s="111" t="b">
        <v>1</v>
      </c>
      <c r="CC74" s="111" t="b">
        <v>1</v>
      </c>
      <c r="CD74" s="111" t="b">
        <v>1</v>
      </c>
      <c r="CE74" s="111" t="b">
        <v>1</v>
      </c>
      <c r="CF74" s="111" t="b">
        <v>1</v>
      </c>
      <c r="CG74" s="111" t="b">
        <v>1</v>
      </c>
      <c r="CH74" s="111" t="b">
        <v>1</v>
      </c>
      <c r="CI74" s="111" t="b">
        <v>1</v>
      </c>
      <c r="CJ74" s="111" t="b">
        <v>1</v>
      </c>
      <c r="CK74" s="111" t="b">
        <v>0</v>
      </c>
      <c r="CL74" s="111" t="b">
        <v>1</v>
      </c>
      <c r="CM74" s="111" t="b">
        <v>0</v>
      </c>
      <c r="CN74" s="111" t="b">
        <v>1</v>
      </c>
    </row>
    <row r="75">
      <c r="A75" s="109" t="s">
        <v>1119</v>
      </c>
      <c r="B75" s="109">
        <v>9.310220044E9</v>
      </c>
      <c r="C75" s="109" t="s">
        <v>1120</v>
      </c>
      <c r="D75" s="109" t="s">
        <v>830</v>
      </c>
      <c r="E75" s="110" t="s">
        <v>1121</v>
      </c>
      <c r="F75" s="109" t="b">
        <v>0</v>
      </c>
      <c r="G75" s="109" t="b">
        <v>1</v>
      </c>
      <c r="H75" s="109" t="b">
        <v>1</v>
      </c>
      <c r="I75" s="109" t="b">
        <v>1</v>
      </c>
      <c r="J75" s="109" t="b">
        <v>1</v>
      </c>
      <c r="K75" s="109" t="b">
        <v>1</v>
      </c>
      <c r="L75" s="109" t="b">
        <v>1</v>
      </c>
      <c r="M75" s="109" t="b">
        <v>1</v>
      </c>
      <c r="N75" s="109" t="b">
        <v>1</v>
      </c>
      <c r="O75" s="109" t="b">
        <v>1</v>
      </c>
      <c r="P75" s="109" t="b">
        <v>1</v>
      </c>
      <c r="Q75" s="109" t="b">
        <v>1</v>
      </c>
      <c r="R75" s="109" t="b">
        <v>1</v>
      </c>
      <c r="S75" s="109" t="b">
        <v>1</v>
      </c>
      <c r="T75" s="109" t="b">
        <v>1</v>
      </c>
      <c r="U75" s="109" t="b">
        <v>1</v>
      </c>
      <c r="V75" s="109" t="b">
        <v>1</v>
      </c>
      <c r="W75" s="109" t="b">
        <v>0</v>
      </c>
      <c r="X75" s="109" t="b">
        <v>0</v>
      </c>
      <c r="Y75" s="109" t="b">
        <v>1</v>
      </c>
      <c r="Z75" s="109" t="b">
        <v>0</v>
      </c>
      <c r="AA75" s="109" t="b">
        <v>0</v>
      </c>
      <c r="AB75" s="109" t="b">
        <v>1</v>
      </c>
      <c r="AC75" s="109" t="b">
        <v>1</v>
      </c>
      <c r="AD75" s="109" t="b">
        <v>1</v>
      </c>
      <c r="AE75" s="109" t="b">
        <v>0</v>
      </c>
      <c r="AF75" s="109" t="b">
        <v>1</v>
      </c>
      <c r="AG75" s="109" t="b">
        <v>1</v>
      </c>
      <c r="AH75" s="109" t="b">
        <v>0</v>
      </c>
      <c r="AI75" s="109" t="b">
        <v>1</v>
      </c>
      <c r="AJ75" s="109" t="b">
        <v>0</v>
      </c>
      <c r="AK75" s="109" t="b">
        <v>1</v>
      </c>
      <c r="AL75" s="109" t="b">
        <v>1</v>
      </c>
      <c r="AM75" s="109" t="b">
        <v>0</v>
      </c>
      <c r="AN75" s="109" t="b">
        <v>0</v>
      </c>
      <c r="AO75" s="109" t="b">
        <v>1</v>
      </c>
      <c r="AP75" s="109" t="b">
        <v>0</v>
      </c>
      <c r="AQ75" s="109" t="b">
        <v>0</v>
      </c>
      <c r="AR75" s="109" t="b">
        <v>0</v>
      </c>
      <c r="AS75" s="109" t="b">
        <v>0</v>
      </c>
      <c r="AT75" s="109" t="b">
        <v>1</v>
      </c>
      <c r="AU75" s="109" t="b">
        <v>1</v>
      </c>
      <c r="AV75" s="109" t="b">
        <v>1</v>
      </c>
      <c r="AW75" s="109" t="b">
        <v>1</v>
      </c>
      <c r="AX75" s="109" t="b">
        <v>1</v>
      </c>
      <c r="AY75" s="109" t="b">
        <v>0</v>
      </c>
      <c r="AZ75" s="109" t="b">
        <v>1</v>
      </c>
      <c r="BA75" s="109" t="b">
        <v>0</v>
      </c>
      <c r="BB75" s="109" t="b">
        <v>1</v>
      </c>
      <c r="BC75" s="109" t="b">
        <v>1</v>
      </c>
      <c r="BD75" s="109" t="b">
        <v>1</v>
      </c>
      <c r="BE75" s="109" t="b">
        <v>1</v>
      </c>
      <c r="BF75" s="109" t="b">
        <v>0</v>
      </c>
      <c r="BG75" s="109" t="b">
        <v>1</v>
      </c>
      <c r="BH75" s="109" t="b">
        <v>1</v>
      </c>
      <c r="BI75" s="109" t="b">
        <v>1</v>
      </c>
      <c r="BJ75" s="109" t="b">
        <v>1</v>
      </c>
      <c r="BK75" s="109" t="b">
        <v>1</v>
      </c>
      <c r="BL75" s="109" t="b">
        <v>0</v>
      </c>
      <c r="BM75" s="109" t="b">
        <v>1</v>
      </c>
      <c r="BN75" s="109" t="b">
        <v>0</v>
      </c>
      <c r="BO75" s="109" t="b">
        <v>1</v>
      </c>
      <c r="BP75" s="109" t="b">
        <v>1</v>
      </c>
      <c r="BQ75" s="109" t="b">
        <v>1</v>
      </c>
      <c r="BR75" s="109" t="b">
        <v>0</v>
      </c>
      <c r="BS75" s="109" t="b">
        <v>1</v>
      </c>
      <c r="BT75" s="109" t="b">
        <v>1</v>
      </c>
      <c r="BU75" s="109" t="b">
        <v>0</v>
      </c>
      <c r="BV75" s="109" t="b">
        <v>1</v>
      </c>
      <c r="BW75" s="109" t="b">
        <v>1</v>
      </c>
      <c r="BX75" s="109" t="b">
        <v>1</v>
      </c>
      <c r="BY75" s="109" t="b">
        <v>1</v>
      </c>
      <c r="BZ75" s="109" t="b">
        <v>0</v>
      </c>
      <c r="CA75" s="109" t="b">
        <v>1</v>
      </c>
      <c r="CB75" s="109" t="b">
        <v>1</v>
      </c>
      <c r="CC75" s="109" t="b">
        <v>1</v>
      </c>
      <c r="CD75" s="109" t="b">
        <v>1</v>
      </c>
      <c r="CE75" s="109" t="b">
        <v>1</v>
      </c>
      <c r="CF75" s="109" t="b">
        <v>0</v>
      </c>
      <c r="CG75" s="109" t="b">
        <v>0</v>
      </c>
      <c r="CH75" s="109" t="b">
        <v>0</v>
      </c>
      <c r="CI75" s="109" t="b">
        <v>0</v>
      </c>
      <c r="CJ75" s="109" t="b">
        <v>1</v>
      </c>
      <c r="CK75" s="109" t="b">
        <v>1</v>
      </c>
      <c r="CL75" s="109" t="b">
        <v>1</v>
      </c>
      <c r="CM75" s="109" t="b">
        <v>0</v>
      </c>
      <c r="CN75" s="109" t="b">
        <v>1</v>
      </c>
    </row>
    <row r="76">
      <c r="A76" s="109" t="s">
        <v>1122</v>
      </c>
      <c r="B76" s="109">
        <v>7.026710102E9</v>
      </c>
      <c r="C76" s="109" t="s">
        <v>1123</v>
      </c>
      <c r="D76" s="109" t="s">
        <v>830</v>
      </c>
      <c r="F76" s="109" t="b">
        <v>1</v>
      </c>
      <c r="G76" s="109" t="b">
        <v>1</v>
      </c>
      <c r="H76" s="109" t="b">
        <v>1</v>
      </c>
      <c r="I76" s="109" t="b">
        <v>1</v>
      </c>
      <c r="J76" s="109" t="b">
        <v>1</v>
      </c>
      <c r="K76" s="109" t="b">
        <v>1</v>
      </c>
      <c r="L76" s="109" t="b">
        <v>1</v>
      </c>
      <c r="M76" s="109" t="b">
        <v>0</v>
      </c>
      <c r="N76" s="109" t="b">
        <v>0</v>
      </c>
      <c r="O76" s="109" t="b">
        <v>1</v>
      </c>
      <c r="P76" s="109" t="b">
        <v>1</v>
      </c>
      <c r="Q76" s="109" t="b">
        <v>1</v>
      </c>
      <c r="R76" s="109" t="b">
        <v>1</v>
      </c>
      <c r="S76" s="109" t="b">
        <v>1</v>
      </c>
      <c r="T76" s="109" t="b">
        <v>1</v>
      </c>
      <c r="U76" s="109" t="b">
        <v>1</v>
      </c>
      <c r="V76" s="109" t="b">
        <v>1</v>
      </c>
      <c r="W76" s="109" t="b">
        <v>1</v>
      </c>
      <c r="X76" s="109" t="b">
        <v>1</v>
      </c>
      <c r="Y76" s="109" t="b">
        <v>0</v>
      </c>
      <c r="Z76" s="109" t="b">
        <v>0</v>
      </c>
      <c r="AA76" s="109" t="b">
        <v>1</v>
      </c>
      <c r="AB76" s="109" t="b">
        <v>1</v>
      </c>
      <c r="AC76" s="109" t="b">
        <v>1</v>
      </c>
      <c r="AD76" s="109" t="b">
        <v>1</v>
      </c>
      <c r="AE76" s="109" t="b">
        <v>1</v>
      </c>
      <c r="AF76" s="109" t="b">
        <v>1</v>
      </c>
      <c r="AG76" s="109" t="b">
        <v>1</v>
      </c>
      <c r="AH76" s="109" t="b">
        <v>1</v>
      </c>
      <c r="AI76" s="109" t="b">
        <v>1</v>
      </c>
      <c r="AJ76" s="109" t="b">
        <v>0</v>
      </c>
      <c r="AK76" s="109" t="b">
        <v>1</v>
      </c>
      <c r="AL76" s="109" t="b">
        <v>1</v>
      </c>
      <c r="AM76" s="109" t="b">
        <v>1</v>
      </c>
      <c r="AN76" s="109" t="b">
        <v>0</v>
      </c>
      <c r="AO76" s="109" t="b">
        <v>1</v>
      </c>
      <c r="AP76" s="109" t="b">
        <v>1</v>
      </c>
      <c r="AQ76" s="109" t="b">
        <v>1</v>
      </c>
      <c r="AR76" s="109" t="b">
        <v>1</v>
      </c>
      <c r="AS76" s="109" t="b">
        <v>1</v>
      </c>
      <c r="AT76" s="109" t="b">
        <v>1</v>
      </c>
      <c r="AU76" s="109" t="b">
        <v>1</v>
      </c>
      <c r="AV76" s="109" t="b">
        <v>1</v>
      </c>
      <c r="AW76" s="109" t="b">
        <v>0</v>
      </c>
      <c r="AX76" s="109" t="b">
        <v>1</v>
      </c>
      <c r="AY76" s="109" t="b">
        <v>1</v>
      </c>
      <c r="AZ76" s="109" t="b">
        <v>1</v>
      </c>
      <c r="BA76" s="109" t="b">
        <v>1</v>
      </c>
      <c r="BB76" s="109" t="b">
        <v>1</v>
      </c>
      <c r="BC76" s="109" t="b">
        <v>0</v>
      </c>
      <c r="BD76" s="109" t="b">
        <v>1</v>
      </c>
      <c r="BE76" s="109" t="b">
        <v>1</v>
      </c>
      <c r="BF76" s="109" t="b">
        <v>0</v>
      </c>
      <c r="BG76" s="109" t="b">
        <v>1</v>
      </c>
      <c r="BH76" s="109" t="b">
        <v>1</v>
      </c>
      <c r="BI76" s="109" t="b">
        <v>1</v>
      </c>
      <c r="BJ76" s="109" t="b">
        <v>1</v>
      </c>
      <c r="BK76" s="109" t="b">
        <v>1</v>
      </c>
      <c r="BL76" s="109" t="b">
        <v>1</v>
      </c>
      <c r="BM76" s="109" t="b">
        <v>0</v>
      </c>
      <c r="BN76" s="109" t="b">
        <v>1</v>
      </c>
      <c r="BO76" s="109" t="b">
        <v>1</v>
      </c>
      <c r="BP76" s="109" t="b">
        <v>1</v>
      </c>
      <c r="BQ76" s="109" t="b">
        <v>1</v>
      </c>
      <c r="BR76" s="109" t="b">
        <v>1</v>
      </c>
      <c r="BS76" s="109" t="b">
        <v>1</v>
      </c>
      <c r="BT76" s="109" t="b">
        <v>1</v>
      </c>
      <c r="BU76" s="109" t="b">
        <v>0</v>
      </c>
      <c r="BV76" s="109" t="b">
        <v>1</v>
      </c>
      <c r="BW76" s="109" t="b">
        <v>1</v>
      </c>
      <c r="BX76" s="109" t="b">
        <v>1</v>
      </c>
      <c r="BY76" s="109" t="b">
        <v>1</v>
      </c>
      <c r="BZ76" s="109" t="b">
        <v>1</v>
      </c>
      <c r="CA76" s="109" t="b">
        <v>1</v>
      </c>
      <c r="CB76" s="109" t="b">
        <v>0</v>
      </c>
      <c r="CC76" s="109" t="b">
        <v>0</v>
      </c>
      <c r="CD76" s="109" t="b">
        <v>1</v>
      </c>
      <c r="CE76" s="109" t="b">
        <v>1</v>
      </c>
      <c r="CF76" s="109" t="b">
        <v>1</v>
      </c>
      <c r="CG76" s="109" t="b">
        <v>1</v>
      </c>
      <c r="CH76" s="109" t="b">
        <v>0</v>
      </c>
      <c r="CI76" s="109" t="b">
        <v>1</v>
      </c>
      <c r="CJ76" s="109" t="b">
        <v>1</v>
      </c>
      <c r="CK76" s="109" t="b">
        <v>1</v>
      </c>
      <c r="CL76" s="109" t="b">
        <v>1</v>
      </c>
      <c r="CM76" s="109" t="b">
        <v>0</v>
      </c>
      <c r="CN76" s="109" t="b">
        <v>1</v>
      </c>
    </row>
    <row r="77">
      <c r="A77" s="109" t="s">
        <v>1124</v>
      </c>
      <c r="B77" s="109">
        <v>7.276765634E9</v>
      </c>
      <c r="C77" s="109" t="s">
        <v>1125</v>
      </c>
      <c r="D77" s="109" t="s">
        <v>830</v>
      </c>
      <c r="F77" s="109" t="b">
        <v>1</v>
      </c>
      <c r="G77" s="109" t="b">
        <v>1</v>
      </c>
      <c r="H77" s="109" t="b">
        <v>0</v>
      </c>
      <c r="I77" s="109" t="b">
        <v>0</v>
      </c>
      <c r="J77" s="109" t="b">
        <v>0</v>
      </c>
      <c r="K77" s="109" t="b">
        <v>1</v>
      </c>
      <c r="L77" s="109" t="b">
        <v>1</v>
      </c>
      <c r="M77" s="109" t="b">
        <v>0</v>
      </c>
      <c r="N77" s="109" t="b">
        <v>1</v>
      </c>
      <c r="O77" s="109" t="b">
        <v>1</v>
      </c>
      <c r="P77" s="109" t="b">
        <v>1</v>
      </c>
      <c r="Q77" s="109" t="b">
        <v>1</v>
      </c>
      <c r="R77" s="109" t="b">
        <v>1</v>
      </c>
      <c r="S77" s="109" t="b">
        <v>1</v>
      </c>
      <c r="T77" s="109" t="b">
        <v>1</v>
      </c>
      <c r="U77" s="109" t="b">
        <v>1</v>
      </c>
      <c r="V77" s="109" t="b">
        <v>1</v>
      </c>
      <c r="W77" s="109" t="b">
        <v>1</v>
      </c>
      <c r="X77" s="109" t="b">
        <v>1</v>
      </c>
      <c r="Y77" s="109" t="b">
        <v>1</v>
      </c>
      <c r="Z77" s="109" t="b">
        <v>0</v>
      </c>
      <c r="AA77" s="109" t="b">
        <v>1</v>
      </c>
      <c r="AB77" s="109" t="b">
        <v>1</v>
      </c>
      <c r="AC77" s="109" t="b">
        <v>1</v>
      </c>
      <c r="AD77" s="109" t="b">
        <v>0</v>
      </c>
      <c r="AE77" s="109" t="b">
        <v>1</v>
      </c>
      <c r="AF77" s="109" t="b">
        <v>1</v>
      </c>
      <c r="AG77" s="109" t="b">
        <v>1</v>
      </c>
      <c r="AH77" s="109" t="b">
        <v>1</v>
      </c>
      <c r="AI77" s="109" t="b">
        <v>1</v>
      </c>
      <c r="AJ77" s="109" t="b">
        <v>0</v>
      </c>
      <c r="AK77" s="109" t="b">
        <v>0</v>
      </c>
      <c r="AL77" s="109" t="b">
        <v>1</v>
      </c>
      <c r="AM77" s="109" t="b">
        <v>1</v>
      </c>
      <c r="AN77" s="109" t="b">
        <v>0</v>
      </c>
      <c r="AO77" s="109" t="b">
        <v>1</v>
      </c>
      <c r="AP77" s="109" t="b">
        <v>1</v>
      </c>
      <c r="AQ77" s="109" t="b">
        <v>1</v>
      </c>
      <c r="AR77" s="109" t="b">
        <v>1</v>
      </c>
      <c r="AS77" s="109" t="b">
        <v>1</v>
      </c>
      <c r="AT77" s="109" t="b">
        <v>1</v>
      </c>
      <c r="AU77" s="109" t="b">
        <v>1</v>
      </c>
      <c r="AV77" s="109" t="b">
        <v>1</v>
      </c>
      <c r="AW77" s="109" t="b">
        <v>1</v>
      </c>
      <c r="AX77" s="109" t="b">
        <v>0</v>
      </c>
      <c r="AY77" s="109" t="b">
        <v>0</v>
      </c>
      <c r="AZ77" s="109" t="b">
        <v>1</v>
      </c>
      <c r="BA77" s="109" t="b">
        <v>0</v>
      </c>
      <c r="BB77" s="109" t="b">
        <v>1</v>
      </c>
      <c r="BC77" s="109" t="b">
        <v>1</v>
      </c>
      <c r="BD77" s="109" t="b">
        <v>1</v>
      </c>
      <c r="BE77" s="109" t="b">
        <v>1</v>
      </c>
      <c r="BF77" s="109" t="b">
        <v>1</v>
      </c>
      <c r="BG77" s="109" t="b">
        <v>1</v>
      </c>
      <c r="BH77" s="109" t="b">
        <v>0</v>
      </c>
      <c r="BI77" s="109" t="b">
        <v>0</v>
      </c>
      <c r="BJ77" s="109" t="b">
        <v>0</v>
      </c>
      <c r="BK77" s="109" t="b">
        <v>1</v>
      </c>
      <c r="BL77" s="109" t="b">
        <v>1</v>
      </c>
      <c r="BM77" s="109" t="b">
        <v>0</v>
      </c>
      <c r="BN77" s="109" t="b">
        <v>0</v>
      </c>
      <c r="BO77" s="109" t="b">
        <v>0</v>
      </c>
      <c r="BP77" s="109" t="b">
        <v>1</v>
      </c>
      <c r="BQ77" s="109" t="b">
        <v>1</v>
      </c>
      <c r="BR77" s="109" t="b">
        <v>1</v>
      </c>
      <c r="BS77" s="109" t="b">
        <v>1</v>
      </c>
      <c r="BT77" s="109" t="b">
        <v>1</v>
      </c>
      <c r="BU77" s="109" t="b">
        <v>1</v>
      </c>
      <c r="BV77" s="109" t="b">
        <v>1</v>
      </c>
      <c r="BW77" s="109" t="b">
        <v>1</v>
      </c>
      <c r="BX77" s="109" t="b">
        <v>1</v>
      </c>
      <c r="BY77" s="109" t="b">
        <v>1</v>
      </c>
      <c r="BZ77" s="109" t="b">
        <v>0</v>
      </c>
      <c r="CA77" s="109" t="b">
        <v>1</v>
      </c>
      <c r="CB77" s="109" t="b">
        <v>1</v>
      </c>
      <c r="CC77" s="109" t="b">
        <v>1</v>
      </c>
      <c r="CD77" s="109" t="b">
        <v>1</v>
      </c>
      <c r="CE77" s="109" t="b">
        <v>1</v>
      </c>
      <c r="CF77" s="109" t="b">
        <v>1</v>
      </c>
      <c r="CG77" s="109" t="b">
        <v>1</v>
      </c>
      <c r="CH77" s="109" t="b">
        <v>1</v>
      </c>
      <c r="CI77" s="109" t="b">
        <v>0</v>
      </c>
      <c r="CJ77" s="109" t="b">
        <v>1</v>
      </c>
      <c r="CK77" s="109" t="b">
        <v>1</v>
      </c>
      <c r="CL77" s="109" t="b">
        <v>1</v>
      </c>
      <c r="CM77" s="109" t="b">
        <v>1</v>
      </c>
      <c r="CN77" s="109" t="b">
        <v>0</v>
      </c>
    </row>
    <row r="78">
      <c r="A78" s="109" t="s">
        <v>1126</v>
      </c>
      <c r="B78" s="109">
        <v>9.322908231E9</v>
      </c>
      <c r="C78" s="109" t="s">
        <v>1127</v>
      </c>
      <c r="D78" s="109" t="s">
        <v>830</v>
      </c>
      <c r="F78" s="109" t="b">
        <v>1</v>
      </c>
      <c r="G78" s="109" t="b">
        <v>1</v>
      </c>
      <c r="H78" s="109" t="b">
        <v>0</v>
      </c>
      <c r="I78" s="109" t="b">
        <v>0</v>
      </c>
      <c r="J78" s="109" t="b">
        <v>0</v>
      </c>
      <c r="K78" s="109" t="b">
        <v>1</v>
      </c>
      <c r="L78" s="109" t="b">
        <v>0</v>
      </c>
      <c r="M78" s="109" t="b">
        <v>0</v>
      </c>
      <c r="N78" s="109" t="b">
        <v>1</v>
      </c>
      <c r="O78" s="109" t="b">
        <v>1</v>
      </c>
      <c r="P78" s="109" t="b">
        <v>1</v>
      </c>
      <c r="Q78" s="109" t="b">
        <v>1</v>
      </c>
      <c r="R78" s="109" t="b">
        <v>1</v>
      </c>
      <c r="S78" s="109" t="b">
        <v>1</v>
      </c>
      <c r="T78" s="109" t="b">
        <v>1</v>
      </c>
      <c r="U78" s="109" t="b">
        <v>1</v>
      </c>
      <c r="V78" s="109" t="b">
        <v>1</v>
      </c>
      <c r="W78" s="109" t="b">
        <v>1</v>
      </c>
      <c r="X78" s="109" t="b">
        <v>1</v>
      </c>
      <c r="Y78" s="109" t="b">
        <v>1</v>
      </c>
      <c r="Z78" s="109" t="b">
        <v>0</v>
      </c>
      <c r="AA78" s="109" t="b">
        <v>1</v>
      </c>
      <c r="AB78" s="109" t="b">
        <v>1</v>
      </c>
      <c r="AC78" s="109" t="b">
        <v>1</v>
      </c>
      <c r="AD78" s="109" t="b">
        <v>0</v>
      </c>
      <c r="AE78" s="109" t="b">
        <v>1</v>
      </c>
      <c r="AF78" s="109" t="b">
        <v>1</v>
      </c>
      <c r="AG78" s="109" t="b">
        <v>1</v>
      </c>
      <c r="AH78" s="109" t="b">
        <v>1</v>
      </c>
      <c r="AI78" s="109" t="b">
        <v>1</v>
      </c>
      <c r="AJ78" s="109" t="b">
        <v>0</v>
      </c>
      <c r="AK78" s="109" t="b">
        <v>0</v>
      </c>
      <c r="AL78" s="109" t="b">
        <v>1</v>
      </c>
      <c r="AM78" s="109" t="b">
        <v>1</v>
      </c>
      <c r="AN78" s="109" t="b">
        <v>0</v>
      </c>
      <c r="AO78" s="109" t="b">
        <v>1</v>
      </c>
      <c r="AP78" s="109" t="b">
        <v>1</v>
      </c>
      <c r="AQ78" s="109" t="b">
        <v>1</v>
      </c>
      <c r="AR78" s="109" t="b">
        <v>1</v>
      </c>
      <c r="AS78" s="109" t="b">
        <v>1</v>
      </c>
      <c r="AT78" s="109" t="b">
        <v>1</v>
      </c>
      <c r="AU78" s="109" t="b">
        <v>1</v>
      </c>
      <c r="AV78" s="109" t="b">
        <v>1</v>
      </c>
      <c r="AW78" s="109" t="b">
        <v>1</v>
      </c>
      <c r="AX78" s="109" t="b">
        <v>0</v>
      </c>
      <c r="AY78" s="109" t="b">
        <v>0</v>
      </c>
      <c r="AZ78" s="109" t="b">
        <v>1</v>
      </c>
      <c r="BA78" s="109" t="b">
        <v>1</v>
      </c>
      <c r="BB78" s="109" t="b">
        <v>1</v>
      </c>
      <c r="BC78" s="109" t="b">
        <v>1</v>
      </c>
      <c r="BD78" s="109" t="b">
        <v>1</v>
      </c>
      <c r="BE78" s="109" t="b">
        <v>1</v>
      </c>
      <c r="BF78" s="109" t="b">
        <v>1</v>
      </c>
      <c r="BG78" s="109" t="b">
        <v>1</v>
      </c>
      <c r="BH78" s="109" t="b">
        <v>0</v>
      </c>
      <c r="BI78" s="109" t="b">
        <v>0</v>
      </c>
      <c r="BJ78" s="109" t="b">
        <v>0</v>
      </c>
      <c r="BK78" s="109" t="b">
        <v>1</v>
      </c>
      <c r="BL78" s="109" t="b">
        <v>0</v>
      </c>
      <c r="BM78" s="109" t="b">
        <v>0</v>
      </c>
      <c r="BN78" s="109" t="b">
        <v>0</v>
      </c>
      <c r="BO78" s="109" t="b">
        <v>0</v>
      </c>
      <c r="BP78" s="109" t="b">
        <v>1</v>
      </c>
      <c r="BQ78" s="109" t="b">
        <v>1</v>
      </c>
      <c r="BR78" s="109" t="b">
        <v>1</v>
      </c>
      <c r="BS78" s="109" t="b">
        <v>1</v>
      </c>
      <c r="BT78" s="109" t="b">
        <v>1</v>
      </c>
      <c r="BU78" s="109" t="b">
        <v>1</v>
      </c>
      <c r="BV78" s="109" t="b">
        <v>1</v>
      </c>
      <c r="BW78" s="109" t="b">
        <v>1</v>
      </c>
      <c r="BX78" s="109" t="b">
        <v>1</v>
      </c>
      <c r="BY78" s="109" t="b">
        <v>0</v>
      </c>
      <c r="BZ78" s="109" t="b">
        <v>0</v>
      </c>
      <c r="CA78" s="109" t="b">
        <v>1</v>
      </c>
      <c r="CB78" s="109" t="b">
        <v>1</v>
      </c>
      <c r="CC78" s="109" t="b">
        <v>1</v>
      </c>
      <c r="CD78" s="109" t="b">
        <v>1</v>
      </c>
      <c r="CE78" s="109" t="b">
        <v>1</v>
      </c>
      <c r="CF78" s="109" t="b">
        <v>1</v>
      </c>
      <c r="CG78" s="109" t="b">
        <v>1</v>
      </c>
      <c r="CH78" s="109" t="b">
        <v>1</v>
      </c>
      <c r="CI78" s="109" t="b">
        <v>0</v>
      </c>
      <c r="CJ78" s="109" t="b">
        <v>1</v>
      </c>
      <c r="CK78" s="109" t="b">
        <v>1</v>
      </c>
      <c r="CL78" s="109" t="b">
        <v>0</v>
      </c>
      <c r="CM78" s="109" t="b">
        <v>1</v>
      </c>
      <c r="CN78" s="109" t="b">
        <v>0</v>
      </c>
    </row>
    <row r="79">
      <c r="A79" s="123" t="s">
        <v>1128</v>
      </c>
      <c r="B79" s="123" t="s">
        <v>1129</v>
      </c>
      <c r="C79" s="109" t="s">
        <v>1130</v>
      </c>
      <c r="D79" s="109" t="s">
        <v>830</v>
      </c>
      <c r="F79" s="109" t="b">
        <v>0</v>
      </c>
      <c r="G79" s="109" t="b">
        <v>0</v>
      </c>
      <c r="H79" s="109" t="b">
        <v>0</v>
      </c>
      <c r="I79" s="109" t="b">
        <v>0</v>
      </c>
      <c r="J79" s="109" t="b">
        <v>0</v>
      </c>
      <c r="K79" s="109" t="b">
        <v>0</v>
      </c>
      <c r="L79" s="109" t="b">
        <v>0</v>
      </c>
      <c r="M79" s="109" t="b">
        <v>0</v>
      </c>
      <c r="N79" s="109" t="b">
        <v>0</v>
      </c>
      <c r="O79" s="109" t="b">
        <v>0</v>
      </c>
      <c r="P79" s="109" t="b">
        <v>1</v>
      </c>
      <c r="Q79" s="109" t="b">
        <v>1</v>
      </c>
      <c r="R79" s="109" t="b">
        <v>0</v>
      </c>
      <c r="S79" s="109" t="b">
        <v>0</v>
      </c>
      <c r="T79" s="109" t="b">
        <v>0</v>
      </c>
      <c r="U79" s="109" t="b">
        <v>0</v>
      </c>
      <c r="V79" s="109" t="b">
        <v>0</v>
      </c>
      <c r="W79" s="109" t="b">
        <v>1</v>
      </c>
      <c r="X79" s="109" t="b">
        <v>1</v>
      </c>
      <c r="Y79" s="109" t="b">
        <v>1</v>
      </c>
      <c r="Z79" s="109" t="b">
        <v>0</v>
      </c>
      <c r="AA79" s="109" t="b">
        <v>1</v>
      </c>
      <c r="AB79" s="109" t="b">
        <v>0</v>
      </c>
      <c r="AC79" s="109" t="b">
        <v>1</v>
      </c>
      <c r="AD79" s="109" t="b">
        <v>0</v>
      </c>
      <c r="AE79" s="109" t="b">
        <v>1</v>
      </c>
      <c r="AF79" s="109" t="b">
        <v>1</v>
      </c>
      <c r="AG79" s="109" t="b">
        <v>1</v>
      </c>
      <c r="AH79" s="109" t="b">
        <v>0</v>
      </c>
      <c r="AI79" s="109" t="b">
        <v>1</v>
      </c>
      <c r="AJ79" s="109" t="b">
        <v>0</v>
      </c>
      <c r="AK79" s="109" t="b">
        <v>0</v>
      </c>
      <c r="AL79" s="109" t="b">
        <v>0</v>
      </c>
      <c r="AM79" s="109" t="b">
        <v>1</v>
      </c>
      <c r="AN79" s="109" t="b">
        <v>0</v>
      </c>
      <c r="AO79" s="109" t="b">
        <v>1</v>
      </c>
      <c r="AP79" s="109" t="b">
        <v>1</v>
      </c>
      <c r="AQ79" s="109" t="b">
        <v>1</v>
      </c>
      <c r="AR79" s="109" t="b">
        <v>1</v>
      </c>
      <c r="AS79" s="109" t="b">
        <v>0</v>
      </c>
      <c r="AT79" s="109" t="b">
        <v>0</v>
      </c>
      <c r="AU79" s="109" t="b">
        <v>1</v>
      </c>
      <c r="AV79" s="109" t="b">
        <v>1</v>
      </c>
      <c r="AW79" s="109" t="b">
        <v>1</v>
      </c>
      <c r="AX79" s="109" t="b">
        <v>1</v>
      </c>
      <c r="AY79" s="109" t="b">
        <v>1</v>
      </c>
      <c r="AZ79" s="109" t="b">
        <v>1</v>
      </c>
      <c r="BA79" s="109" t="b">
        <v>1</v>
      </c>
      <c r="BB79" s="109" t="b">
        <v>1</v>
      </c>
      <c r="BC79" s="109" t="b">
        <v>1</v>
      </c>
      <c r="BD79" s="109" t="b">
        <v>1</v>
      </c>
      <c r="BE79" s="109" t="b">
        <v>1</v>
      </c>
      <c r="BF79" s="109" t="b">
        <v>1</v>
      </c>
      <c r="BG79" s="109" t="b">
        <v>0</v>
      </c>
      <c r="BH79" s="109" t="b">
        <v>0</v>
      </c>
      <c r="BI79" s="109" t="b">
        <v>0</v>
      </c>
      <c r="BJ79" s="109" t="b">
        <v>0</v>
      </c>
      <c r="BK79" s="109" t="b">
        <v>0</v>
      </c>
      <c r="BL79" s="109" t="b">
        <v>0</v>
      </c>
      <c r="BM79" s="109" t="b">
        <v>0</v>
      </c>
      <c r="BN79" s="109" t="b">
        <v>0</v>
      </c>
      <c r="BO79" s="109" t="b">
        <v>0</v>
      </c>
      <c r="BP79" s="109" t="b">
        <v>0</v>
      </c>
      <c r="BQ79" s="109" t="b">
        <v>0</v>
      </c>
      <c r="BR79" s="109" t="b">
        <v>0</v>
      </c>
      <c r="BS79" s="109" t="b">
        <v>0</v>
      </c>
      <c r="BT79" s="109" t="b">
        <v>0</v>
      </c>
      <c r="BU79" s="109" t="b">
        <v>0</v>
      </c>
      <c r="BV79" s="109" t="b">
        <v>0</v>
      </c>
      <c r="BW79" s="109" t="b">
        <v>0</v>
      </c>
      <c r="BX79" s="109" t="b">
        <v>0</v>
      </c>
      <c r="BY79" s="109" t="b">
        <v>0</v>
      </c>
      <c r="BZ79" s="109" t="b">
        <v>0</v>
      </c>
      <c r="CA79" s="109" t="b">
        <v>1</v>
      </c>
      <c r="CB79" s="109" t="b">
        <v>0</v>
      </c>
      <c r="CC79" s="109" t="b">
        <v>1</v>
      </c>
      <c r="CD79" s="109" t="b">
        <v>0</v>
      </c>
      <c r="CE79" s="109" t="b">
        <v>1</v>
      </c>
      <c r="CF79" s="109" t="b">
        <v>0</v>
      </c>
      <c r="CG79" s="109" t="b">
        <v>0</v>
      </c>
      <c r="CH79" s="109" t="b">
        <v>0</v>
      </c>
      <c r="CI79" s="109" t="b">
        <v>0</v>
      </c>
      <c r="CJ79" s="109" t="b">
        <v>0</v>
      </c>
      <c r="CK79" s="109" t="b">
        <v>0</v>
      </c>
      <c r="CL79" s="109" t="b">
        <v>0</v>
      </c>
      <c r="CM79" s="109" t="b">
        <v>0</v>
      </c>
      <c r="CN79" s="109" t="b">
        <v>0</v>
      </c>
    </row>
    <row r="80">
      <c r="A80" s="111" t="s">
        <v>1131</v>
      </c>
      <c r="B80" s="111">
        <v>7.291943358E9</v>
      </c>
      <c r="C80" s="111" t="s">
        <v>1132</v>
      </c>
      <c r="D80" s="111" t="s">
        <v>830</v>
      </c>
      <c r="E80" s="112"/>
      <c r="F80" s="111" t="b">
        <v>0</v>
      </c>
      <c r="G80" s="111" t="b">
        <v>0</v>
      </c>
      <c r="H80" s="111" t="b">
        <v>0</v>
      </c>
      <c r="I80" s="111" t="b">
        <v>0</v>
      </c>
      <c r="J80" s="111" t="b">
        <v>0</v>
      </c>
      <c r="K80" s="111" t="b">
        <v>0</v>
      </c>
      <c r="L80" s="111" t="b">
        <v>0</v>
      </c>
      <c r="M80" s="111" t="b">
        <v>0</v>
      </c>
      <c r="N80" s="111" t="b">
        <v>0</v>
      </c>
      <c r="O80" s="111" t="b">
        <v>0</v>
      </c>
      <c r="P80" s="111" t="b">
        <v>0</v>
      </c>
      <c r="Q80" s="111" t="b">
        <v>0</v>
      </c>
      <c r="R80" s="111" t="b">
        <v>0</v>
      </c>
      <c r="S80" s="111" t="b">
        <v>0</v>
      </c>
      <c r="T80" s="111" t="b">
        <v>0</v>
      </c>
      <c r="U80" s="111" t="b">
        <v>0</v>
      </c>
      <c r="V80" s="111" t="b">
        <v>0</v>
      </c>
      <c r="W80" s="111" t="b">
        <v>0</v>
      </c>
      <c r="X80" s="111" t="b">
        <v>0</v>
      </c>
      <c r="Y80" s="111" t="b">
        <v>0</v>
      </c>
      <c r="Z80" s="111" t="b">
        <v>0</v>
      </c>
      <c r="AA80" s="111" t="b">
        <v>0</v>
      </c>
      <c r="AB80" s="111" t="b">
        <v>0</v>
      </c>
      <c r="AC80" s="111" t="b">
        <v>0</v>
      </c>
      <c r="AD80" s="111" t="b">
        <v>0</v>
      </c>
      <c r="AE80" s="111" t="b">
        <v>0</v>
      </c>
      <c r="AF80" s="111" t="b">
        <v>0</v>
      </c>
      <c r="AG80" s="111" t="b">
        <v>0</v>
      </c>
      <c r="AH80" s="111" t="b">
        <v>0</v>
      </c>
      <c r="AI80" s="111" t="b">
        <v>0</v>
      </c>
      <c r="AJ80" s="111" t="b">
        <v>0</v>
      </c>
      <c r="AK80" s="111" t="b">
        <v>0</v>
      </c>
      <c r="AL80" s="111" t="b">
        <v>0</v>
      </c>
      <c r="AM80" s="111" t="b">
        <v>0</v>
      </c>
      <c r="AN80" s="111" t="b">
        <v>0</v>
      </c>
      <c r="AO80" s="111" t="b">
        <v>0</v>
      </c>
      <c r="AP80" s="111" t="b">
        <v>0</v>
      </c>
      <c r="AQ80" s="111" t="b">
        <v>0</v>
      </c>
      <c r="AR80" s="111" t="b">
        <v>0</v>
      </c>
      <c r="AS80" s="111" t="b">
        <v>0</v>
      </c>
      <c r="AT80" s="111" t="b">
        <v>0</v>
      </c>
      <c r="AU80" s="111" t="b">
        <v>0</v>
      </c>
      <c r="AV80" s="111" t="b">
        <v>0</v>
      </c>
      <c r="AW80" s="111" t="b">
        <v>0</v>
      </c>
      <c r="AX80" s="111" t="b">
        <v>0</v>
      </c>
      <c r="AY80" s="111" t="b">
        <v>0</v>
      </c>
      <c r="AZ80" s="111" t="b">
        <v>0</v>
      </c>
      <c r="BA80" s="111" t="b">
        <v>0</v>
      </c>
      <c r="BB80" s="111" t="b">
        <v>0</v>
      </c>
      <c r="BC80" s="111" t="b">
        <v>0</v>
      </c>
      <c r="BD80" s="111" t="b">
        <v>0</v>
      </c>
      <c r="BE80" s="111" t="b">
        <v>0</v>
      </c>
      <c r="BF80" s="111" t="b">
        <v>0</v>
      </c>
      <c r="BG80" s="111" t="b">
        <v>0</v>
      </c>
      <c r="BH80" s="111" t="b">
        <v>0</v>
      </c>
      <c r="BI80" s="111" t="b">
        <v>0</v>
      </c>
      <c r="BJ80" s="111" t="b">
        <v>0</v>
      </c>
      <c r="BK80" s="111" t="b">
        <v>0</v>
      </c>
      <c r="BL80" s="111" t="b">
        <v>0</v>
      </c>
      <c r="BM80" s="111" t="b">
        <v>0</v>
      </c>
      <c r="BN80" s="111" t="b">
        <v>0</v>
      </c>
      <c r="BO80" s="111" t="b">
        <v>0</v>
      </c>
      <c r="BP80" s="111" t="b">
        <v>0</v>
      </c>
      <c r="BQ80" s="111" t="b">
        <v>0</v>
      </c>
      <c r="BR80" s="111" t="b">
        <v>0</v>
      </c>
      <c r="BS80" s="111" t="b">
        <v>0</v>
      </c>
      <c r="BT80" s="111" t="b">
        <v>0</v>
      </c>
      <c r="BU80" s="111" t="b">
        <v>0</v>
      </c>
      <c r="BV80" s="111" t="b">
        <v>0</v>
      </c>
      <c r="BW80" s="111" t="b">
        <v>0</v>
      </c>
      <c r="BX80" s="111" t="b">
        <v>0</v>
      </c>
      <c r="BY80" s="111" t="b">
        <v>0</v>
      </c>
      <c r="BZ80" s="111" t="b">
        <v>0</v>
      </c>
      <c r="CA80" s="111" t="b">
        <v>0</v>
      </c>
      <c r="CB80" s="111" t="b">
        <v>1</v>
      </c>
      <c r="CC80" s="111" t="b">
        <v>0</v>
      </c>
      <c r="CD80" s="111" t="b">
        <v>0</v>
      </c>
      <c r="CE80" s="111" t="b">
        <v>0</v>
      </c>
      <c r="CF80" s="111" t="b">
        <v>0</v>
      </c>
      <c r="CG80" s="111" t="b">
        <v>0</v>
      </c>
      <c r="CH80" s="111" t="b">
        <v>0</v>
      </c>
      <c r="CI80" s="111" t="b">
        <v>0</v>
      </c>
      <c r="CJ80" s="111" t="b">
        <v>0</v>
      </c>
      <c r="CK80" s="111" t="b">
        <v>0</v>
      </c>
      <c r="CL80" s="111" t="b">
        <v>0</v>
      </c>
      <c r="CM80" s="111" t="b">
        <v>0</v>
      </c>
      <c r="CN80" s="111" t="b">
        <v>0</v>
      </c>
    </row>
    <row r="81">
      <c r="A81" s="123" t="s">
        <v>1133</v>
      </c>
      <c r="B81" s="17"/>
      <c r="C81" s="17"/>
      <c r="D81" s="123" t="s">
        <v>1134</v>
      </c>
      <c r="E81" s="42"/>
      <c r="F81" s="109" t="b">
        <v>0</v>
      </c>
      <c r="G81" s="109" t="b">
        <v>0</v>
      </c>
      <c r="H81" s="109" t="b">
        <v>0</v>
      </c>
      <c r="I81" s="109" t="b">
        <v>0</v>
      </c>
      <c r="J81" s="109" t="b">
        <v>0</v>
      </c>
      <c r="K81" s="109" t="b">
        <v>0</v>
      </c>
      <c r="L81" s="109" t="b">
        <v>0</v>
      </c>
      <c r="M81" s="109" t="b">
        <v>0</v>
      </c>
      <c r="N81" s="109" t="b">
        <v>0</v>
      </c>
      <c r="O81" s="109" t="b">
        <v>0</v>
      </c>
      <c r="P81" s="109" t="b">
        <v>0</v>
      </c>
      <c r="Q81" s="109" t="b">
        <v>0</v>
      </c>
      <c r="R81" s="109" t="b">
        <v>0</v>
      </c>
      <c r="S81" s="109" t="b">
        <v>0</v>
      </c>
      <c r="T81" s="109" t="b">
        <v>0</v>
      </c>
      <c r="U81" s="109" t="b">
        <v>0</v>
      </c>
      <c r="V81" s="109" t="b">
        <v>0</v>
      </c>
      <c r="W81" s="109" t="b">
        <v>0</v>
      </c>
      <c r="X81" s="109" t="b">
        <v>0</v>
      </c>
      <c r="Y81" s="109" t="b">
        <v>0</v>
      </c>
      <c r="Z81" s="109" t="b">
        <v>0</v>
      </c>
      <c r="AA81" s="109" t="b">
        <v>0</v>
      </c>
      <c r="AB81" s="109" t="b">
        <v>0</v>
      </c>
      <c r="AC81" s="109" t="b">
        <v>0</v>
      </c>
      <c r="AD81" s="109" t="b">
        <v>0</v>
      </c>
      <c r="AE81" s="109" t="b">
        <v>0</v>
      </c>
      <c r="AF81" s="109" t="b">
        <v>0</v>
      </c>
      <c r="AG81" s="109" t="b">
        <v>0</v>
      </c>
      <c r="AH81" s="109" t="b">
        <v>0</v>
      </c>
      <c r="AI81" s="109" t="b">
        <v>0</v>
      </c>
      <c r="AJ81" s="109" t="b">
        <v>0</v>
      </c>
      <c r="AK81" s="109" t="b">
        <v>0</v>
      </c>
      <c r="AL81" s="109" t="b">
        <v>0</v>
      </c>
      <c r="AM81" s="109" t="b">
        <v>0</v>
      </c>
      <c r="AN81" s="109" t="b">
        <v>0</v>
      </c>
      <c r="AO81" s="109" t="b">
        <v>0</v>
      </c>
      <c r="AP81" s="109" t="b">
        <v>0</v>
      </c>
      <c r="AQ81" s="109" t="b">
        <v>0</v>
      </c>
      <c r="AR81" s="109" t="b">
        <v>0</v>
      </c>
      <c r="AS81" s="109" t="b">
        <v>0</v>
      </c>
      <c r="AT81" s="109" t="b">
        <v>0</v>
      </c>
      <c r="AU81" s="109" t="b">
        <v>0</v>
      </c>
      <c r="AV81" s="109" t="b">
        <v>0</v>
      </c>
      <c r="AW81" s="109" t="b">
        <v>0</v>
      </c>
      <c r="AX81" s="109" t="b">
        <v>0</v>
      </c>
      <c r="AY81" s="109" t="b">
        <v>0</v>
      </c>
      <c r="AZ81" s="109" t="b">
        <v>0</v>
      </c>
      <c r="BA81" s="109" t="b">
        <v>0</v>
      </c>
      <c r="BB81" s="109" t="b">
        <v>0</v>
      </c>
      <c r="BC81" s="109" t="b">
        <v>0</v>
      </c>
      <c r="BD81" s="109" t="b">
        <v>0</v>
      </c>
      <c r="BE81" s="109" t="b">
        <v>0</v>
      </c>
      <c r="BF81" s="109" t="b">
        <v>0</v>
      </c>
      <c r="BG81" s="109" t="b">
        <v>0</v>
      </c>
      <c r="BH81" s="109" t="b">
        <v>0</v>
      </c>
      <c r="BI81" s="109" t="b">
        <v>0</v>
      </c>
      <c r="BJ81" s="109" t="b">
        <v>0</v>
      </c>
      <c r="BK81" s="109" t="b">
        <v>0</v>
      </c>
      <c r="BL81" s="109" t="b">
        <v>0</v>
      </c>
      <c r="BM81" s="109" t="b">
        <v>0</v>
      </c>
      <c r="BN81" s="109" t="b">
        <v>0</v>
      </c>
      <c r="BO81" s="109" t="b">
        <v>0</v>
      </c>
      <c r="BP81" s="109" t="b">
        <v>0</v>
      </c>
      <c r="BQ81" s="109" t="b">
        <v>0</v>
      </c>
      <c r="BR81" s="109" t="b">
        <v>0</v>
      </c>
      <c r="BS81" s="109" t="b">
        <v>0</v>
      </c>
      <c r="BT81" s="109" t="b">
        <v>0</v>
      </c>
      <c r="BU81" s="109" t="b">
        <v>0</v>
      </c>
      <c r="BV81" s="109" t="b">
        <v>0</v>
      </c>
      <c r="BW81" s="109" t="b">
        <v>0</v>
      </c>
      <c r="BX81" s="109" t="b">
        <v>0</v>
      </c>
      <c r="BY81" s="109" t="b">
        <v>0</v>
      </c>
      <c r="BZ81" s="109" t="b">
        <v>0</v>
      </c>
      <c r="CA81" s="109" t="b">
        <v>0</v>
      </c>
      <c r="CB81" s="109" t="b">
        <v>0</v>
      </c>
      <c r="CC81" s="109" t="b">
        <v>0</v>
      </c>
      <c r="CD81" s="109" t="b">
        <v>0</v>
      </c>
      <c r="CE81" s="109" t="b">
        <v>0</v>
      </c>
      <c r="CF81" s="109" t="b">
        <v>0</v>
      </c>
      <c r="CG81" s="109" t="b">
        <v>0</v>
      </c>
      <c r="CH81" s="109" t="b">
        <v>0</v>
      </c>
      <c r="CI81" s="109" t="b">
        <v>0</v>
      </c>
      <c r="CJ81" s="109" t="b">
        <v>0</v>
      </c>
      <c r="CK81" s="109" t="b">
        <v>0</v>
      </c>
      <c r="CL81" s="109" t="b">
        <v>0</v>
      </c>
      <c r="CM81" s="109" t="b">
        <v>0</v>
      </c>
      <c r="CN81" s="109" t="b">
        <v>0</v>
      </c>
    </row>
    <row r="82">
      <c r="A82" s="109" t="s">
        <v>1135</v>
      </c>
      <c r="B82" s="109">
        <v>9.004830196E9</v>
      </c>
      <c r="C82" s="109" t="s">
        <v>1136</v>
      </c>
      <c r="D82" s="123" t="s">
        <v>1134</v>
      </c>
      <c r="E82" s="42"/>
      <c r="F82" s="109" t="b">
        <v>0</v>
      </c>
      <c r="G82" s="109" t="b">
        <v>0</v>
      </c>
      <c r="H82" s="109" t="b">
        <v>0</v>
      </c>
      <c r="I82" s="109" t="b">
        <v>0</v>
      </c>
      <c r="J82" s="109" t="b">
        <v>0</v>
      </c>
      <c r="K82" s="109" t="b">
        <v>0</v>
      </c>
      <c r="L82" s="109" t="b">
        <v>0</v>
      </c>
      <c r="M82" s="109" t="b">
        <v>0</v>
      </c>
      <c r="N82" s="109" t="b">
        <v>0</v>
      </c>
      <c r="O82" s="109" t="b">
        <v>0</v>
      </c>
      <c r="P82" s="109" t="b">
        <v>0</v>
      </c>
      <c r="Q82" s="109" t="b">
        <v>0</v>
      </c>
      <c r="R82" s="109" t="b">
        <v>0</v>
      </c>
      <c r="S82" s="109" t="b">
        <v>0</v>
      </c>
      <c r="T82" s="109" t="b">
        <v>0</v>
      </c>
      <c r="U82" s="109" t="b">
        <v>0</v>
      </c>
      <c r="V82" s="109" t="b">
        <v>0</v>
      </c>
      <c r="W82" s="109" t="b">
        <v>0</v>
      </c>
      <c r="X82" s="109" t="b">
        <v>0</v>
      </c>
      <c r="Y82" s="109" t="b">
        <v>0</v>
      </c>
      <c r="Z82" s="109" t="b">
        <v>0</v>
      </c>
      <c r="AA82" s="109" t="b">
        <v>0</v>
      </c>
      <c r="AB82" s="109" t="b">
        <v>0</v>
      </c>
      <c r="AC82" s="109" t="b">
        <v>0</v>
      </c>
      <c r="AD82" s="109" t="b">
        <v>0</v>
      </c>
      <c r="AE82" s="109" t="b">
        <v>0</v>
      </c>
      <c r="AF82" s="109" t="b">
        <v>0</v>
      </c>
      <c r="AG82" s="109" t="b">
        <v>0</v>
      </c>
      <c r="AH82" s="109" t="b">
        <v>0</v>
      </c>
      <c r="AI82" s="109" t="b">
        <v>0</v>
      </c>
      <c r="AJ82" s="109" t="b">
        <v>0</v>
      </c>
      <c r="AK82" s="109" t="b">
        <v>0</v>
      </c>
      <c r="AL82" s="109" t="b">
        <v>0</v>
      </c>
      <c r="AM82" s="109" t="b">
        <v>0</v>
      </c>
      <c r="AN82" s="109" t="b">
        <v>0</v>
      </c>
      <c r="AO82" s="109" t="b">
        <v>0</v>
      </c>
      <c r="AP82" s="109" t="b">
        <v>0</v>
      </c>
      <c r="AQ82" s="109" t="b">
        <v>0</v>
      </c>
      <c r="AR82" s="109" t="b">
        <v>0</v>
      </c>
      <c r="AS82" s="109" t="b">
        <v>0</v>
      </c>
      <c r="AT82" s="109" t="b">
        <v>0</v>
      </c>
      <c r="AU82" s="109" t="b">
        <v>0</v>
      </c>
      <c r="AV82" s="109" t="b">
        <v>0</v>
      </c>
      <c r="AW82" s="109" t="b">
        <v>0</v>
      </c>
      <c r="AX82" s="109" t="b">
        <v>0</v>
      </c>
      <c r="AY82" s="109" t="b">
        <v>0</v>
      </c>
      <c r="AZ82" s="109" t="b">
        <v>0</v>
      </c>
      <c r="BA82" s="109" t="b">
        <v>0</v>
      </c>
      <c r="BB82" s="109" t="b">
        <v>0</v>
      </c>
      <c r="BC82" s="109" t="b">
        <v>0</v>
      </c>
      <c r="BD82" s="109" t="b">
        <v>0</v>
      </c>
      <c r="BE82" s="109" t="b">
        <v>0</v>
      </c>
      <c r="BF82" s="109" t="b">
        <v>0</v>
      </c>
      <c r="BG82" s="109" t="b">
        <v>0</v>
      </c>
      <c r="BH82" s="109" t="b">
        <v>0</v>
      </c>
      <c r="BI82" s="109" t="b">
        <v>0</v>
      </c>
      <c r="BJ82" s="109" t="b">
        <v>0</v>
      </c>
      <c r="BK82" s="109" t="b">
        <v>0</v>
      </c>
      <c r="BL82" s="109" t="b">
        <v>0</v>
      </c>
      <c r="BM82" s="109" t="b">
        <v>0</v>
      </c>
      <c r="BN82" s="109" t="b">
        <v>0</v>
      </c>
      <c r="BO82" s="109" t="b">
        <v>0</v>
      </c>
      <c r="BP82" s="109" t="b">
        <v>0</v>
      </c>
      <c r="BQ82" s="109" t="b">
        <v>0</v>
      </c>
      <c r="BR82" s="109" t="b">
        <v>0</v>
      </c>
      <c r="BS82" s="109" t="b">
        <v>0</v>
      </c>
      <c r="BT82" s="109" t="b">
        <v>0</v>
      </c>
      <c r="BU82" s="109" t="b">
        <v>0</v>
      </c>
      <c r="BV82" s="109" t="b">
        <v>0</v>
      </c>
      <c r="BW82" s="109" t="b">
        <v>0</v>
      </c>
      <c r="BX82" s="109" t="b">
        <v>0</v>
      </c>
      <c r="BY82" s="109" t="b">
        <v>0</v>
      </c>
      <c r="BZ82" s="109" t="b">
        <v>0</v>
      </c>
      <c r="CA82" s="109" t="b">
        <v>0</v>
      </c>
      <c r="CB82" s="109" t="b">
        <v>0</v>
      </c>
      <c r="CC82" s="109" t="b">
        <v>0</v>
      </c>
      <c r="CD82" s="109" t="b">
        <v>0</v>
      </c>
      <c r="CE82" s="109" t="b">
        <v>0</v>
      </c>
      <c r="CF82" s="109" t="b">
        <v>0</v>
      </c>
      <c r="CG82" s="109" t="b">
        <v>0</v>
      </c>
      <c r="CH82" s="109" t="b">
        <v>0</v>
      </c>
      <c r="CI82" s="109" t="b">
        <v>0</v>
      </c>
      <c r="CJ82" s="109" t="b">
        <v>0</v>
      </c>
      <c r="CK82" s="109" t="b">
        <v>0</v>
      </c>
      <c r="CL82" s="109" t="b">
        <v>0</v>
      </c>
      <c r="CM82" s="109" t="b">
        <v>0</v>
      </c>
      <c r="CN82" s="109" t="b">
        <v>0</v>
      </c>
    </row>
    <row r="83">
      <c r="A83" s="109" t="s">
        <v>1137</v>
      </c>
      <c r="B83" s="109">
        <v>8.810322097E9</v>
      </c>
      <c r="C83" s="109" t="s">
        <v>1138</v>
      </c>
      <c r="D83" s="123" t="s">
        <v>1134</v>
      </c>
      <c r="E83" s="42"/>
      <c r="F83" s="109" t="b">
        <v>0</v>
      </c>
      <c r="G83" s="109" t="b">
        <v>0</v>
      </c>
      <c r="H83" s="109" t="b">
        <v>0</v>
      </c>
      <c r="I83" s="109" t="b">
        <v>0</v>
      </c>
      <c r="J83" s="109" t="b">
        <v>0</v>
      </c>
      <c r="K83" s="109" t="b">
        <v>0</v>
      </c>
      <c r="L83" s="109" t="b">
        <v>0</v>
      </c>
      <c r="M83" s="109" t="b">
        <v>0</v>
      </c>
      <c r="N83" s="109" t="b">
        <v>0</v>
      </c>
      <c r="O83" s="109" t="b">
        <v>0</v>
      </c>
      <c r="P83" s="109" t="b">
        <v>0</v>
      </c>
      <c r="Q83" s="109" t="b">
        <v>0</v>
      </c>
      <c r="R83" s="109" t="b">
        <v>0</v>
      </c>
      <c r="S83" s="109" t="b">
        <v>0</v>
      </c>
      <c r="T83" s="109" t="b">
        <v>0</v>
      </c>
      <c r="U83" s="109" t="b">
        <v>0</v>
      </c>
      <c r="V83" s="109" t="b">
        <v>0</v>
      </c>
      <c r="W83" s="109" t="b">
        <v>0</v>
      </c>
      <c r="X83" s="109" t="b">
        <v>0</v>
      </c>
      <c r="Y83" s="109" t="b">
        <v>0</v>
      </c>
      <c r="Z83" s="109" t="b">
        <v>0</v>
      </c>
      <c r="AA83" s="109" t="b">
        <v>0</v>
      </c>
      <c r="AB83" s="109" t="b">
        <v>0</v>
      </c>
      <c r="AC83" s="109" t="b">
        <v>0</v>
      </c>
      <c r="AD83" s="109" t="b">
        <v>0</v>
      </c>
      <c r="AE83" s="109" t="b">
        <v>0</v>
      </c>
      <c r="AF83" s="109" t="b">
        <v>0</v>
      </c>
      <c r="AG83" s="109" t="b">
        <v>0</v>
      </c>
      <c r="AH83" s="109" t="b">
        <v>0</v>
      </c>
      <c r="AI83" s="109" t="b">
        <v>0</v>
      </c>
      <c r="AJ83" s="109" t="b">
        <v>0</v>
      </c>
      <c r="AK83" s="109" t="b">
        <v>0</v>
      </c>
      <c r="AL83" s="109" t="b">
        <v>0</v>
      </c>
      <c r="AM83" s="109" t="b">
        <v>0</v>
      </c>
      <c r="AN83" s="109" t="b">
        <v>0</v>
      </c>
      <c r="AO83" s="109" t="b">
        <v>0</v>
      </c>
      <c r="AP83" s="109" t="b">
        <v>0</v>
      </c>
      <c r="AQ83" s="109" t="b">
        <v>0</v>
      </c>
      <c r="AR83" s="109" t="b">
        <v>0</v>
      </c>
      <c r="AS83" s="109" t="b">
        <v>0</v>
      </c>
      <c r="AT83" s="109" t="b">
        <v>0</v>
      </c>
      <c r="AU83" s="109" t="b">
        <v>0</v>
      </c>
      <c r="AV83" s="109" t="b">
        <v>0</v>
      </c>
      <c r="AW83" s="109" t="b">
        <v>0</v>
      </c>
      <c r="AX83" s="109" t="b">
        <v>0</v>
      </c>
      <c r="AY83" s="109" t="b">
        <v>0</v>
      </c>
      <c r="AZ83" s="109" t="b">
        <v>0</v>
      </c>
      <c r="BA83" s="109" t="b">
        <v>0</v>
      </c>
      <c r="BB83" s="109" t="b">
        <v>0</v>
      </c>
      <c r="BC83" s="109" t="b">
        <v>0</v>
      </c>
      <c r="BD83" s="109" t="b">
        <v>0</v>
      </c>
      <c r="BE83" s="109" t="b">
        <v>0</v>
      </c>
      <c r="BF83" s="109" t="b">
        <v>0</v>
      </c>
      <c r="BG83" s="109" t="b">
        <v>0</v>
      </c>
      <c r="BH83" s="109" t="b">
        <v>0</v>
      </c>
      <c r="BI83" s="109" t="b">
        <v>0</v>
      </c>
      <c r="BJ83" s="109" t="b">
        <v>0</v>
      </c>
      <c r="BK83" s="109" t="b">
        <v>0</v>
      </c>
      <c r="BL83" s="109" t="b">
        <v>0</v>
      </c>
      <c r="BM83" s="109" t="b">
        <v>0</v>
      </c>
      <c r="BN83" s="109" t="b">
        <v>0</v>
      </c>
      <c r="BO83" s="109" t="b">
        <v>0</v>
      </c>
      <c r="BP83" s="109" t="b">
        <v>0</v>
      </c>
      <c r="BQ83" s="109" t="b">
        <v>0</v>
      </c>
      <c r="BR83" s="109" t="b">
        <v>0</v>
      </c>
      <c r="BS83" s="109" t="b">
        <v>0</v>
      </c>
      <c r="BT83" s="109" t="b">
        <v>0</v>
      </c>
      <c r="BU83" s="109" t="b">
        <v>0</v>
      </c>
      <c r="BV83" s="109" t="b">
        <v>0</v>
      </c>
      <c r="BW83" s="109" t="b">
        <v>0</v>
      </c>
      <c r="BX83" s="109" t="b">
        <v>0</v>
      </c>
      <c r="BY83" s="109" t="b">
        <v>0</v>
      </c>
      <c r="BZ83" s="109" t="b">
        <v>0</v>
      </c>
      <c r="CA83" s="109" t="b">
        <v>0</v>
      </c>
      <c r="CB83" s="109" t="b">
        <v>0</v>
      </c>
      <c r="CC83" s="109" t="b">
        <v>0</v>
      </c>
      <c r="CD83" s="109" t="b">
        <v>0</v>
      </c>
      <c r="CE83" s="109" t="b">
        <v>0</v>
      </c>
      <c r="CF83" s="109" t="b">
        <v>0</v>
      </c>
      <c r="CG83" s="109" t="b">
        <v>0</v>
      </c>
      <c r="CH83" s="109" t="b">
        <v>0</v>
      </c>
      <c r="CI83" s="109" t="b">
        <v>0</v>
      </c>
      <c r="CJ83" s="109" t="b">
        <v>0</v>
      </c>
      <c r="CK83" s="109" t="b">
        <v>0</v>
      </c>
      <c r="CL83" s="109" t="b">
        <v>0</v>
      </c>
      <c r="CM83" s="109" t="b">
        <v>0</v>
      </c>
      <c r="CN83" s="109" t="b">
        <v>0</v>
      </c>
    </row>
    <row r="84">
      <c r="A84" s="109" t="s">
        <v>1139</v>
      </c>
      <c r="B84" s="109">
        <v>8.459129522E9</v>
      </c>
      <c r="C84" s="109" t="s">
        <v>1140</v>
      </c>
      <c r="D84" s="123" t="s">
        <v>1134</v>
      </c>
      <c r="E84" s="42"/>
      <c r="F84" s="109" t="b">
        <v>0</v>
      </c>
      <c r="G84" s="109" t="b">
        <v>0</v>
      </c>
      <c r="H84" s="109" t="b">
        <v>0</v>
      </c>
      <c r="I84" s="109" t="b">
        <v>0</v>
      </c>
      <c r="J84" s="109" t="b">
        <v>0</v>
      </c>
      <c r="K84" s="109" t="b">
        <v>0</v>
      </c>
      <c r="L84" s="109" t="b">
        <v>0</v>
      </c>
      <c r="M84" s="109" t="b">
        <v>0</v>
      </c>
      <c r="N84" s="109" t="b">
        <v>0</v>
      </c>
      <c r="O84" s="109" t="b">
        <v>0</v>
      </c>
      <c r="P84" s="109" t="b">
        <v>0</v>
      </c>
      <c r="Q84" s="109" t="b">
        <v>0</v>
      </c>
      <c r="R84" s="109" t="b">
        <v>0</v>
      </c>
      <c r="S84" s="109" t="b">
        <v>0</v>
      </c>
      <c r="T84" s="109" t="b">
        <v>0</v>
      </c>
      <c r="U84" s="109" t="b">
        <v>0</v>
      </c>
      <c r="V84" s="109" t="b">
        <v>0</v>
      </c>
      <c r="W84" s="109" t="b">
        <v>0</v>
      </c>
      <c r="X84" s="109" t="b">
        <v>0</v>
      </c>
      <c r="Y84" s="109" t="b">
        <v>0</v>
      </c>
      <c r="Z84" s="109" t="b">
        <v>0</v>
      </c>
      <c r="AA84" s="109" t="b">
        <v>0</v>
      </c>
      <c r="AB84" s="109" t="b">
        <v>0</v>
      </c>
      <c r="AC84" s="109" t="b">
        <v>0</v>
      </c>
      <c r="AD84" s="109" t="b">
        <v>0</v>
      </c>
      <c r="AE84" s="109" t="b">
        <v>0</v>
      </c>
      <c r="AF84" s="109" t="b">
        <v>0</v>
      </c>
      <c r="AG84" s="109" t="b">
        <v>0</v>
      </c>
      <c r="AH84" s="109" t="b">
        <v>0</v>
      </c>
      <c r="AI84" s="109" t="b">
        <v>0</v>
      </c>
      <c r="AJ84" s="109" t="b">
        <v>0</v>
      </c>
      <c r="AK84" s="109" t="b">
        <v>0</v>
      </c>
      <c r="AL84" s="109" t="b">
        <v>0</v>
      </c>
      <c r="AM84" s="109" t="b">
        <v>0</v>
      </c>
      <c r="AN84" s="109" t="b">
        <v>0</v>
      </c>
      <c r="AO84" s="109" t="b">
        <v>0</v>
      </c>
      <c r="AP84" s="109" t="b">
        <v>0</v>
      </c>
      <c r="AQ84" s="109" t="b">
        <v>0</v>
      </c>
      <c r="AR84" s="109" t="b">
        <v>0</v>
      </c>
      <c r="AS84" s="109" t="b">
        <v>0</v>
      </c>
      <c r="AT84" s="109" t="b">
        <v>0</v>
      </c>
      <c r="AU84" s="109" t="b">
        <v>0</v>
      </c>
      <c r="AV84" s="109" t="b">
        <v>0</v>
      </c>
      <c r="AW84" s="109" t="b">
        <v>0</v>
      </c>
      <c r="AX84" s="109" t="b">
        <v>0</v>
      </c>
      <c r="AY84" s="109" t="b">
        <v>0</v>
      </c>
      <c r="AZ84" s="109" t="b">
        <v>0</v>
      </c>
      <c r="BA84" s="109" t="b">
        <v>0</v>
      </c>
      <c r="BB84" s="109" t="b">
        <v>0</v>
      </c>
      <c r="BC84" s="109" t="b">
        <v>0</v>
      </c>
      <c r="BD84" s="109" t="b">
        <v>0</v>
      </c>
      <c r="BE84" s="109" t="b">
        <v>0</v>
      </c>
      <c r="BF84" s="109" t="b">
        <v>0</v>
      </c>
      <c r="BG84" s="109" t="b">
        <v>0</v>
      </c>
      <c r="BH84" s="109" t="b">
        <v>0</v>
      </c>
      <c r="BI84" s="109" t="b">
        <v>0</v>
      </c>
      <c r="BJ84" s="109" t="b">
        <v>0</v>
      </c>
      <c r="BK84" s="109" t="b">
        <v>0</v>
      </c>
      <c r="BL84" s="109" t="b">
        <v>0</v>
      </c>
      <c r="BM84" s="109" t="b">
        <v>0</v>
      </c>
      <c r="BN84" s="109" t="b">
        <v>0</v>
      </c>
      <c r="BO84" s="109" t="b">
        <v>0</v>
      </c>
      <c r="BP84" s="109" t="b">
        <v>0</v>
      </c>
      <c r="BQ84" s="109" t="b">
        <v>0</v>
      </c>
      <c r="BR84" s="109" t="b">
        <v>0</v>
      </c>
      <c r="BS84" s="109" t="b">
        <v>0</v>
      </c>
      <c r="BT84" s="109" t="b">
        <v>0</v>
      </c>
      <c r="BU84" s="109" t="b">
        <v>0</v>
      </c>
      <c r="BV84" s="109" t="b">
        <v>0</v>
      </c>
      <c r="BW84" s="109" t="b">
        <v>0</v>
      </c>
      <c r="BX84" s="109" t="b">
        <v>0</v>
      </c>
      <c r="BY84" s="109" t="b">
        <v>0</v>
      </c>
      <c r="BZ84" s="109" t="b">
        <v>0</v>
      </c>
      <c r="CA84" s="109" t="b">
        <v>0</v>
      </c>
      <c r="CB84" s="109" t="b">
        <v>0</v>
      </c>
      <c r="CC84" s="109" t="b">
        <v>0</v>
      </c>
      <c r="CD84" s="109" t="b">
        <v>0</v>
      </c>
      <c r="CE84" s="109" t="b">
        <v>0</v>
      </c>
      <c r="CF84" s="109" t="b">
        <v>0</v>
      </c>
      <c r="CG84" s="109" t="b">
        <v>0</v>
      </c>
      <c r="CH84" s="109" t="b">
        <v>0</v>
      </c>
      <c r="CI84" s="109" t="b">
        <v>0</v>
      </c>
      <c r="CJ84" s="109" t="b">
        <v>0</v>
      </c>
      <c r="CK84" s="109" t="b">
        <v>0</v>
      </c>
      <c r="CL84" s="109" t="b">
        <v>0</v>
      </c>
      <c r="CM84" s="109" t="b">
        <v>0</v>
      </c>
      <c r="CN84" s="109" t="b">
        <v>0</v>
      </c>
    </row>
    <row r="85">
      <c r="A85" s="109" t="s">
        <v>1141</v>
      </c>
      <c r="B85" s="109">
        <v>9.36983898E9</v>
      </c>
      <c r="C85" s="109" t="s">
        <v>1142</v>
      </c>
      <c r="D85" s="123" t="s">
        <v>1134</v>
      </c>
      <c r="E85" s="42"/>
      <c r="F85" s="109" t="b">
        <v>0</v>
      </c>
      <c r="G85" s="109" t="b">
        <v>0</v>
      </c>
      <c r="H85" s="109" t="b">
        <v>0</v>
      </c>
      <c r="I85" s="109" t="b">
        <v>0</v>
      </c>
      <c r="J85" s="109" t="b">
        <v>0</v>
      </c>
      <c r="K85" s="109" t="b">
        <v>0</v>
      </c>
      <c r="L85" s="109" t="b">
        <v>0</v>
      </c>
      <c r="M85" s="109" t="b">
        <v>0</v>
      </c>
      <c r="N85" s="109" t="b">
        <v>0</v>
      </c>
      <c r="O85" s="109" t="b">
        <v>0</v>
      </c>
      <c r="P85" s="109" t="b">
        <v>0</v>
      </c>
      <c r="Q85" s="109" t="b">
        <v>0</v>
      </c>
      <c r="R85" s="109" t="b">
        <v>0</v>
      </c>
      <c r="S85" s="109" t="b">
        <v>0</v>
      </c>
      <c r="T85" s="109" t="b">
        <v>0</v>
      </c>
      <c r="U85" s="109" t="b">
        <v>0</v>
      </c>
      <c r="V85" s="109" t="b">
        <v>0</v>
      </c>
      <c r="W85" s="109" t="b">
        <v>0</v>
      </c>
      <c r="X85" s="109" t="b">
        <v>0</v>
      </c>
      <c r="Y85" s="109" t="b">
        <v>0</v>
      </c>
      <c r="Z85" s="109" t="b">
        <v>0</v>
      </c>
      <c r="AA85" s="109" t="b">
        <v>0</v>
      </c>
      <c r="AB85" s="109" t="b">
        <v>0</v>
      </c>
      <c r="AC85" s="109" t="b">
        <v>0</v>
      </c>
      <c r="AD85" s="109" t="b">
        <v>0</v>
      </c>
      <c r="AE85" s="109" t="b">
        <v>0</v>
      </c>
      <c r="AF85" s="109" t="b">
        <v>0</v>
      </c>
      <c r="AG85" s="109" t="b">
        <v>0</v>
      </c>
      <c r="AH85" s="109" t="b">
        <v>0</v>
      </c>
      <c r="AI85" s="109" t="b">
        <v>0</v>
      </c>
      <c r="AJ85" s="109" t="b">
        <v>0</v>
      </c>
      <c r="AK85" s="109" t="b">
        <v>0</v>
      </c>
      <c r="AL85" s="109" t="b">
        <v>0</v>
      </c>
      <c r="AM85" s="109" t="b">
        <v>0</v>
      </c>
      <c r="AN85" s="109" t="b">
        <v>0</v>
      </c>
      <c r="AO85" s="109" t="b">
        <v>0</v>
      </c>
      <c r="AP85" s="109" t="b">
        <v>0</v>
      </c>
      <c r="AQ85" s="109" t="b">
        <v>0</v>
      </c>
      <c r="AR85" s="109" t="b">
        <v>0</v>
      </c>
      <c r="AS85" s="109" t="b">
        <v>0</v>
      </c>
      <c r="AT85" s="109" t="b">
        <v>0</v>
      </c>
      <c r="AU85" s="109" t="b">
        <v>0</v>
      </c>
      <c r="AV85" s="109" t="b">
        <v>0</v>
      </c>
      <c r="AW85" s="109" t="b">
        <v>0</v>
      </c>
      <c r="AX85" s="109" t="b">
        <v>0</v>
      </c>
      <c r="AY85" s="109" t="b">
        <v>0</v>
      </c>
      <c r="AZ85" s="109" t="b">
        <v>0</v>
      </c>
      <c r="BA85" s="109" t="b">
        <v>0</v>
      </c>
      <c r="BB85" s="109" t="b">
        <v>0</v>
      </c>
      <c r="BC85" s="109" t="b">
        <v>0</v>
      </c>
      <c r="BD85" s="109" t="b">
        <v>0</v>
      </c>
      <c r="BE85" s="109" t="b">
        <v>0</v>
      </c>
      <c r="BF85" s="109" t="b">
        <v>0</v>
      </c>
      <c r="BG85" s="109" t="b">
        <v>0</v>
      </c>
      <c r="BH85" s="109" t="b">
        <v>0</v>
      </c>
      <c r="BI85" s="109" t="b">
        <v>0</v>
      </c>
      <c r="BJ85" s="109" t="b">
        <v>0</v>
      </c>
      <c r="BK85" s="109" t="b">
        <v>0</v>
      </c>
      <c r="BL85" s="109" t="b">
        <v>0</v>
      </c>
      <c r="BM85" s="109" t="b">
        <v>0</v>
      </c>
      <c r="BN85" s="109" t="b">
        <v>0</v>
      </c>
      <c r="BO85" s="109" t="b">
        <v>0</v>
      </c>
      <c r="BP85" s="109" t="b">
        <v>0</v>
      </c>
      <c r="BQ85" s="109" t="b">
        <v>0</v>
      </c>
      <c r="BR85" s="109" t="b">
        <v>0</v>
      </c>
      <c r="BS85" s="109" t="b">
        <v>0</v>
      </c>
      <c r="BT85" s="109" t="b">
        <v>0</v>
      </c>
      <c r="BU85" s="109" t="b">
        <v>0</v>
      </c>
      <c r="BV85" s="109" t="b">
        <v>0</v>
      </c>
      <c r="BW85" s="109" t="b">
        <v>0</v>
      </c>
      <c r="BX85" s="109" t="b">
        <v>0</v>
      </c>
      <c r="BY85" s="109" t="b">
        <v>0</v>
      </c>
      <c r="BZ85" s="109" t="b">
        <v>0</v>
      </c>
      <c r="CA85" s="109" t="b">
        <v>0</v>
      </c>
      <c r="CB85" s="109" t="b">
        <v>0</v>
      </c>
      <c r="CC85" s="109" t="b">
        <v>0</v>
      </c>
      <c r="CD85" s="109" t="b">
        <v>0</v>
      </c>
      <c r="CE85" s="109" t="b">
        <v>0</v>
      </c>
      <c r="CF85" s="109" t="b">
        <v>0</v>
      </c>
      <c r="CG85" s="109" t="b">
        <v>0</v>
      </c>
      <c r="CH85" s="109" t="b">
        <v>0</v>
      </c>
      <c r="CI85" s="109" t="b">
        <v>0</v>
      </c>
      <c r="CJ85" s="109" t="b">
        <v>0</v>
      </c>
      <c r="CK85" s="109" t="b">
        <v>1</v>
      </c>
      <c r="CL85" s="109" t="b">
        <v>0</v>
      </c>
      <c r="CM85" s="109" t="b">
        <v>0</v>
      </c>
      <c r="CN85" s="109" t="b">
        <v>0</v>
      </c>
    </row>
    <row r="86">
      <c r="A86" s="109" t="s">
        <v>1143</v>
      </c>
      <c r="B86" s="109">
        <v>8.930304101E9</v>
      </c>
      <c r="C86" s="109" t="s">
        <v>1144</v>
      </c>
      <c r="D86" s="123" t="s">
        <v>1134</v>
      </c>
      <c r="E86" s="42"/>
      <c r="F86" s="109" t="b">
        <v>0</v>
      </c>
      <c r="G86" s="109" t="b">
        <v>0</v>
      </c>
      <c r="H86" s="109" t="b">
        <v>0</v>
      </c>
      <c r="I86" s="109" t="b">
        <v>0</v>
      </c>
      <c r="J86" s="109" t="b">
        <v>0</v>
      </c>
      <c r="K86" s="109" t="b">
        <v>0</v>
      </c>
      <c r="L86" s="109" t="b">
        <v>0</v>
      </c>
      <c r="M86" s="109" t="b">
        <v>0</v>
      </c>
      <c r="N86" s="109" t="b">
        <v>0</v>
      </c>
      <c r="O86" s="109" t="b">
        <v>0</v>
      </c>
      <c r="P86" s="109" t="b">
        <v>0</v>
      </c>
      <c r="Q86" s="109" t="b">
        <v>0</v>
      </c>
      <c r="R86" s="109" t="b">
        <v>0</v>
      </c>
      <c r="S86" s="109" t="b">
        <v>0</v>
      </c>
      <c r="T86" s="109" t="b">
        <v>0</v>
      </c>
      <c r="U86" s="109" t="b">
        <v>0</v>
      </c>
      <c r="V86" s="109" t="b">
        <v>0</v>
      </c>
      <c r="W86" s="109" t="b">
        <v>0</v>
      </c>
      <c r="X86" s="109" t="b">
        <v>0</v>
      </c>
      <c r="Y86" s="109" t="b">
        <v>0</v>
      </c>
      <c r="Z86" s="109" t="b">
        <v>0</v>
      </c>
      <c r="AA86" s="109" t="b">
        <v>0</v>
      </c>
      <c r="AB86" s="109" t="b">
        <v>0</v>
      </c>
      <c r="AC86" s="109" t="b">
        <v>0</v>
      </c>
      <c r="AD86" s="109" t="b">
        <v>0</v>
      </c>
      <c r="AE86" s="109" t="b">
        <v>0</v>
      </c>
      <c r="AF86" s="109" t="b">
        <v>0</v>
      </c>
      <c r="AG86" s="109" t="b">
        <v>0</v>
      </c>
      <c r="AH86" s="109" t="b">
        <v>0</v>
      </c>
      <c r="AI86" s="109" t="b">
        <v>0</v>
      </c>
      <c r="AJ86" s="109" t="b">
        <v>0</v>
      </c>
      <c r="AK86" s="109" t="b">
        <v>0</v>
      </c>
      <c r="AL86" s="109" t="b">
        <v>0</v>
      </c>
      <c r="AM86" s="109" t="b">
        <v>0</v>
      </c>
      <c r="AN86" s="109" t="b">
        <v>0</v>
      </c>
      <c r="AO86" s="109" t="b">
        <v>0</v>
      </c>
      <c r="AP86" s="109" t="b">
        <v>0</v>
      </c>
      <c r="AQ86" s="109" t="b">
        <v>0</v>
      </c>
      <c r="AR86" s="109" t="b">
        <v>0</v>
      </c>
      <c r="AS86" s="109" t="b">
        <v>0</v>
      </c>
      <c r="AT86" s="109" t="b">
        <v>0</v>
      </c>
      <c r="AU86" s="109" t="b">
        <v>0</v>
      </c>
      <c r="AV86" s="109" t="b">
        <v>0</v>
      </c>
      <c r="AW86" s="109" t="b">
        <v>0</v>
      </c>
      <c r="AX86" s="109" t="b">
        <v>0</v>
      </c>
      <c r="AY86" s="109" t="b">
        <v>0</v>
      </c>
      <c r="AZ86" s="109" t="b">
        <v>0</v>
      </c>
      <c r="BA86" s="109" t="b">
        <v>0</v>
      </c>
      <c r="BB86" s="109" t="b">
        <v>0</v>
      </c>
      <c r="BC86" s="109" t="b">
        <v>0</v>
      </c>
      <c r="BD86" s="109" t="b">
        <v>0</v>
      </c>
      <c r="BE86" s="109" t="b">
        <v>0</v>
      </c>
      <c r="BF86" s="109" t="b">
        <v>0</v>
      </c>
      <c r="BG86" s="109" t="b">
        <v>0</v>
      </c>
      <c r="BH86" s="109" t="b">
        <v>0</v>
      </c>
      <c r="BI86" s="109" t="b">
        <v>0</v>
      </c>
      <c r="BJ86" s="109" t="b">
        <v>0</v>
      </c>
      <c r="BK86" s="109" t="b">
        <v>0</v>
      </c>
      <c r="BL86" s="109" t="b">
        <v>0</v>
      </c>
      <c r="BM86" s="109" t="b">
        <v>0</v>
      </c>
      <c r="BN86" s="109" t="b">
        <v>0</v>
      </c>
      <c r="BO86" s="109" t="b">
        <v>0</v>
      </c>
      <c r="BP86" s="109" t="b">
        <v>0</v>
      </c>
      <c r="BQ86" s="109" t="b">
        <v>0</v>
      </c>
      <c r="BR86" s="109" t="b">
        <v>0</v>
      </c>
      <c r="BS86" s="109" t="b">
        <v>0</v>
      </c>
      <c r="BT86" s="109" t="b">
        <v>0</v>
      </c>
      <c r="BU86" s="109" t="b">
        <v>0</v>
      </c>
      <c r="BV86" s="109" t="b">
        <v>0</v>
      </c>
      <c r="BW86" s="109" t="b">
        <v>0</v>
      </c>
      <c r="BX86" s="109" t="b">
        <v>0</v>
      </c>
      <c r="BY86" s="109" t="b">
        <v>0</v>
      </c>
      <c r="BZ86" s="109" t="b">
        <v>0</v>
      </c>
      <c r="CA86" s="109" t="b">
        <v>0</v>
      </c>
      <c r="CB86" s="109" t="b">
        <v>0</v>
      </c>
      <c r="CC86" s="109" t="b">
        <v>0</v>
      </c>
      <c r="CD86" s="109" t="b">
        <v>0</v>
      </c>
      <c r="CE86" s="109" t="b">
        <v>0</v>
      </c>
      <c r="CF86" s="109" t="b">
        <v>0</v>
      </c>
      <c r="CG86" s="109" t="b">
        <v>0</v>
      </c>
      <c r="CH86" s="109" t="b">
        <v>0</v>
      </c>
      <c r="CI86" s="109" t="b">
        <v>0</v>
      </c>
      <c r="CJ86" s="109" t="b">
        <v>0</v>
      </c>
      <c r="CK86" s="109" t="b">
        <v>0</v>
      </c>
      <c r="CL86" s="109" t="b">
        <v>0</v>
      </c>
      <c r="CM86" s="109" t="b">
        <v>0</v>
      </c>
      <c r="CN86" s="109" t="b">
        <v>0</v>
      </c>
    </row>
    <row r="87">
      <c r="A87" s="109" t="s">
        <v>1145</v>
      </c>
      <c r="B87" s="109">
        <v>7.795163772E9</v>
      </c>
      <c r="C87" s="109" t="s">
        <v>15</v>
      </c>
      <c r="D87" s="123" t="s">
        <v>1134</v>
      </c>
      <c r="E87" s="42"/>
      <c r="F87" s="109" t="b">
        <v>0</v>
      </c>
      <c r="G87" s="109" t="b">
        <v>0</v>
      </c>
      <c r="H87" s="109" t="b">
        <v>0</v>
      </c>
      <c r="I87" s="109" t="b">
        <v>0</v>
      </c>
      <c r="J87" s="109" t="b">
        <v>0</v>
      </c>
      <c r="K87" s="109" t="b">
        <v>0</v>
      </c>
      <c r="L87" s="109" t="b">
        <v>0</v>
      </c>
      <c r="M87" s="109" t="b">
        <v>0</v>
      </c>
      <c r="N87" s="109" t="b">
        <v>0</v>
      </c>
      <c r="O87" s="109" t="b">
        <v>0</v>
      </c>
      <c r="P87" s="109" t="b">
        <v>0</v>
      </c>
      <c r="Q87" s="109" t="b">
        <v>0</v>
      </c>
      <c r="R87" s="109" t="b">
        <v>0</v>
      </c>
      <c r="S87" s="109" t="b">
        <v>0</v>
      </c>
      <c r="T87" s="109" t="b">
        <v>0</v>
      </c>
      <c r="U87" s="109" t="b">
        <v>0</v>
      </c>
      <c r="V87" s="109" t="b">
        <v>0</v>
      </c>
      <c r="W87" s="109" t="b">
        <v>0</v>
      </c>
      <c r="X87" s="109" t="b">
        <v>0</v>
      </c>
      <c r="Y87" s="109" t="b">
        <v>0</v>
      </c>
      <c r="Z87" s="109" t="b">
        <v>0</v>
      </c>
      <c r="AA87" s="109" t="b">
        <v>0</v>
      </c>
      <c r="AB87" s="109" t="b">
        <v>0</v>
      </c>
      <c r="AC87" s="109" t="b">
        <v>0</v>
      </c>
      <c r="AD87" s="109" t="b">
        <v>0</v>
      </c>
      <c r="AE87" s="109" t="b">
        <v>0</v>
      </c>
      <c r="AF87" s="109" t="b">
        <v>0</v>
      </c>
      <c r="AG87" s="109" t="b">
        <v>0</v>
      </c>
      <c r="AH87" s="109" t="b">
        <v>0</v>
      </c>
      <c r="AI87" s="109" t="b">
        <v>0</v>
      </c>
      <c r="AJ87" s="109" t="b">
        <v>0</v>
      </c>
      <c r="AK87" s="109" t="b">
        <v>0</v>
      </c>
      <c r="AL87" s="109" t="b">
        <v>0</v>
      </c>
      <c r="AM87" s="109" t="b">
        <v>0</v>
      </c>
      <c r="AN87" s="109" t="b">
        <v>0</v>
      </c>
      <c r="AO87" s="109" t="b">
        <v>0</v>
      </c>
      <c r="AP87" s="109" t="b">
        <v>0</v>
      </c>
      <c r="AQ87" s="109" t="b">
        <v>0</v>
      </c>
      <c r="AR87" s="109" t="b">
        <v>0</v>
      </c>
      <c r="AS87" s="109" t="b">
        <v>0</v>
      </c>
      <c r="AT87" s="109" t="b">
        <v>0</v>
      </c>
      <c r="AU87" s="109" t="b">
        <v>0</v>
      </c>
      <c r="AV87" s="109" t="b">
        <v>0</v>
      </c>
      <c r="AW87" s="109" t="b">
        <v>0</v>
      </c>
      <c r="AX87" s="109" t="b">
        <v>0</v>
      </c>
      <c r="AY87" s="109" t="b">
        <v>0</v>
      </c>
      <c r="AZ87" s="109" t="b">
        <v>0</v>
      </c>
      <c r="BA87" s="109" t="b">
        <v>0</v>
      </c>
      <c r="BB87" s="109" t="b">
        <v>0</v>
      </c>
      <c r="BC87" s="109" t="b">
        <v>0</v>
      </c>
      <c r="BD87" s="109" t="b">
        <v>0</v>
      </c>
      <c r="BE87" s="109" t="b">
        <v>0</v>
      </c>
      <c r="BF87" s="109" t="b">
        <v>0</v>
      </c>
      <c r="BG87" s="109" t="b">
        <v>0</v>
      </c>
      <c r="BH87" s="109" t="b">
        <v>0</v>
      </c>
      <c r="BI87" s="109" t="b">
        <v>0</v>
      </c>
      <c r="BJ87" s="109" t="b">
        <v>0</v>
      </c>
      <c r="BK87" s="109" t="b">
        <v>0</v>
      </c>
      <c r="BL87" s="109" t="b">
        <v>0</v>
      </c>
      <c r="BM87" s="109" t="b">
        <v>0</v>
      </c>
      <c r="BN87" s="109" t="b">
        <v>0</v>
      </c>
      <c r="BO87" s="109" t="b">
        <v>0</v>
      </c>
      <c r="BP87" s="109" t="b">
        <v>0</v>
      </c>
      <c r="BQ87" s="109" t="b">
        <v>0</v>
      </c>
      <c r="BR87" s="109" t="b">
        <v>0</v>
      </c>
      <c r="BS87" s="109" t="b">
        <v>0</v>
      </c>
      <c r="BT87" s="109" t="b">
        <v>0</v>
      </c>
      <c r="BU87" s="109" t="b">
        <v>0</v>
      </c>
      <c r="BV87" s="109" t="b">
        <v>0</v>
      </c>
      <c r="BW87" s="109" t="b">
        <v>0</v>
      </c>
      <c r="BX87" s="109" t="b">
        <v>0</v>
      </c>
      <c r="BY87" s="109" t="b">
        <v>0</v>
      </c>
      <c r="BZ87" s="109" t="b">
        <v>0</v>
      </c>
      <c r="CA87" s="109" t="b">
        <v>0</v>
      </c>
      <c r="CB87" s="109" t="b">
        <v>0</v>
      </c>
      <c r="CC87" s="109" t="b">
        <v>0</v>
      </c>
      <c r="CD87" s="109" t="b">
        <v>0</v>
      </c>
      <c r="CE87" s="109" t="b">
        <v>0</v>
      </c>
      <c r="CF87" s="109" t="b">
        <v>0</v>
      </c>
      <c r="CG87" s="109" t="b">
        <v>0</v>
      </c>
      <c r="CH87" s="109" t="b">
        <v>0</v>
      </c>
      <c r="CI87" s="109" t="b">
        <v>0</v>
      </c>
      <c r="CJ87" s="109" t="b">
        <v>0</v>
      </c>
      <c r="CK87" s="109" t="b">
        <v>0</v>
      </c>
      <c r="CL87" s="109" t="b">
        <v>0</v>
      </c>
      <c r="CM87" s="109" t="b">
        <v>0</v>
      </c>
      <c r="CN87" s="109" t="b">
        <v>0</v>
      </c>
    </row>
    <row r="88">
      <c r="A88" s="109" t="s">
        <v>1146</v>
      </c>
      <c r="B88" s="109">
        <v>8.299515526E9</v>
      </c>
      <c r="C88" s="109" t="s">
        <v>1147</v>
      </c>
      <c r="D88" s="123" t="s">
        <v>1134</v>
      </c>
      <c r="E88" s="42"/>
      <c r="F88" s="109" t="b">
        <v>0</v>
      </c>
      <c r="G88" s="109" t="b">
        <v>0</v>
      </c>
      <c r="H88" s="109" t="b">
        <v>0</v>
      </c>
      <c r="I88" s="109" t="b">
        <v>0</v>
      </c>
      <c r="J88" s="109" t="b">
        <v>0</v>
      </c>
      <c r="K88" s="109" t="b">
        <v>0</v>
      </c>
      <c r="L88" s="109" t="b">
        <v>0</v>
      </c>
      <c r="M88" s="109" t="b">
        <v>0</v>
      </c>
      <c r="N88" s="109" t="b">
        <v>0</v>
      </c>
      <c r="O88" s="109" t="b">
        <v>0</v>
      </c>
      <c r="P88" s="109" t="b">
        <v>0</v>
      </c>
      <c r="Q88" s="109" t="b">
        <v>0</v>
      </c>
      <c r="R88" s="109" t="b">
        <v>0</v>
      </c>
      <c r="S88" s="109" t="b">
        <v>0</v>
      </c>
      <c r="T88" s="109" t="b">
        <v>0</v>
      </c>
      <c r="U88" s="109" t="b">
        <v>0</v>
      </c>
      <c r="V88" s="109" t="b">
        <v>0</v>
      </c>
      <c r="W88" s="109" t="b">
        <v>0</v>
      </c>
      <c r="X88" s="109" t="b">
        <v>0</v>
      </c>
      <c r="Y88" s="109" t="b">
        <v>0</v>
      </c>
      <c r="Z88" s="109" t="b">
        <v>0</v>
      </c>
      <c r="AA88" s="109" t="b">
        <v>0</v>
      </c>
      <c r="AB88" s="109" t="b">
        <v>0</v>
      </c>
      <c r="AC88" s="109" t="b">
        <v>0</v>
      </c>
      <c r="AD88" s="109" t="b">
        <v>0</v>
      </c>
      <c r="AE88" s="109" t="b">
        <v>0</v>
      </c>
      <c r="AF88" s="109" t="b">
        <v>0</v>
      </c>
      <c r="AG88" s="109" t="b">
        <v>0</v>
      </c>
      <c r="AH88" s="109" t="b">
        <v>0</v>
      </c>
      <c r="AI88" s="109" t="b">
        <v>0</v>
      </c>
      <c r="AJ88" s="109" t="b">
        <v>0</v>
      </c>
      <c r="AK88" s="109" t="b">
        <v>0</v>
      </c>
      <c r="AL88" s="109" t="b">
        <v>0</v>
      </c>
      <c r="AM88" s="109" t="b">
        <v>0</v>
      </c>
      <c r="AN88" s="109" t="b">
        <v>0</v>
      </c>
      <c r="AO88" s="109" t="b">
        <v>0</v>
      </c>
      <c r="AP88" s="109" t="b">
        <v>0</v>
      </c>
      <c r="AQ88" s="109" t="b">
        <v>0</v>
      </c>
      <c r="AR88" s="109" t="b">
        <v>0</v>
      </c>
      <c r="AS88" s="109" t="b">
        <v>0</v>
      </c>
      <c r="AT88" s="109" t="b">
        <v>0</v>
      </c>
      <c r="AU88" s="109" t="b">
        <v>0</v>
      </c>
      <c r="AV88" s="109" t="b">
        <v>0</v>
      </c>
      <c r="AW88" s="109" t="b">
        <v>0</v>
      </c>
      <c r="AX88" s="109" t="b">
        <v>0</v>
      </c>
      <c r="AY88" s="109" t="b">
        <v>0</v>
      </c>
      <c r="AZ88" s="109" t="b">
        <v>0</v>
      </c>
      <c r="BA88" s="109" t="b">
        <v>0</v>
      </c>
      <c r="BB88" s="109" t="b">
        <v>0</v>
      </c>
      <c r="BC88" s="109" t="b">
        <v>0</v>
      </c>
      <c r="BD88" s="109" t="b">
        <v>0</v>
      </c>
      <c r="BE88" s="109" t="b">
        <v>0</v>
      </c>
      <c r="BF88" s="109" t="b">
        <v>0</v>
      </c>
      <c r="BG88" s="109" t="b">
        <v>0</v>
      </c>
      <c r="BH88" s="109" t="b">
        <v>0</v>
      </c>
      <c r="BI88" s="109" t="b">
        <v>0</v>
      </c>
      <c r="BJ88" s="109" t="b">
        <v>0</v>
      </c>
      <c r="BK88" s="109" t="b">
        <v>0</v>
      </c>
      <c r="BL88" s="109" t="b">
        <v>0</v>
      </c>
      <c r="BM88" s="109" t="b">
        <v>0</v>
      </c>
      <c r="BN88" s="109" t="b">
        <v>0</v>
      </c>
      <c r="BO88" s="109" t="b">
        <v>0</v>
      </c>
      <c r="BP88" s="109" t="b">
        <v>0</v>
      </c>
      <c r="BQ88" s="109" t="b">
        <v>0</v>
      </c>
      <c r="BR88" s="109" t="b">
        <v>0</v>
      </c>
      <c r="BS88" s="109" t="b">
        <v>0</v>
      </c>
      <c r="BT88" s="109" t="b">
        <v>0</v>
      </c>
      <c r="BU88" s="109" t="b">
        <v>0</v>
      </c>
      <c r="BV88" s="109" t="b">
        <v>0</v>
      </c>
      <c r="BW88" s="109" t="b">
        <v>0</v>
      </c>
      <c r="BX88" s="109" t="b">
        <v>0</v>
      </c>
      <c r="BY88" s="109" t="b">
        <v>0</v>
      </c>
      <c r="BZ88" s="109" t="b">
        <v>0</v>
      </c>
      <c r="CA88" s="109" t="b">
        <v>0</v>
      </c>
      <c r="CB88" s="109" t="b">
        <v>0</v>
      </c>
      <c r="CC88" s="109" t="b">
        <v>0</v>
      </c>
      <c r="CD88" s="109" t="b">
        <v>0</v>
      </c>
      <c r="CE88" s="109" t="b">
        <v>0</v>
      </c>
      <c r="CF88" s="109" t="b">
        <v>0</v>
      </c>
      <c r="CG88" s="109" t="b">
        <v>0</v>
      </c>
      <c r="CH88" s="109" t="b">
        <v>0</v>
      </c>
      <c r="CI88" s="109" t="b">
        <v>0</v>
      </c>
      <c r="CJ88" s="109" t="b">
        <v>0</v>
      </c>
      <c r="CK88" s="109" t="b">
        <v>0</v>
      </c>
      <c r="CL88" s="109" t="b">
        <v>0</v>
      </c>
      <c r="CM88" s="109" t="b">
        <v>0</v>
      </c>
      <c r="CN88" s="109" t="b">
        <v>0</v>
      </c>
    </row>
  </sheetData>
  <mergeCells count="6">
    <mergeCell ref="E2:E5"/>
    <mergeCell ref="E6:E17"/>
    <mergeCell ref="E18:E36"/>
    <mergeCell ref="E37:E63"/>
    <mergeCell ref="E64:E74"/>
    <mergeCell ref="E75:E8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6" t="s">
        <v>0</v>
      </c>
      <c r="B1" s="126" t="s">
        <v>965</v>
      </c>
      <c r="C1" s="127" t="s">
        <v>1</v>
      </c>
      <c r="D1" s="126" t="s">
        <v>966</v>
      </c>
      <c r="E1" s="105" t="s">
        <v>967</v>
      </c>
      <c r="F1" s="107">
        <v>46098.0</v>
      </c>
      <c r="G1" s="107">
        <v>46097.0</v>
      </c>
      <c r="H1" s="107">
        <v>46094.0</v>
      </c>
      <c r="I1" s="107">
        <v>46091.0</v>
      </c>
      <c r="J1" s="107">
        <v>46090.0</v>
      </c>
      <c r="K1" s="107">
        <v>46087.0</v>
      </c>
      <c r="L1" s="107">
        <v>46084.0</v>
      </c>
      <c r="M1" s="107">
        <v>46083.0</v>
      </c>
      <c r="N1" s="128">
        <v>46080.0</v>
      </c>
      <c r="O1" s="128">
        <v>46077.0</v>
      </c>
      <c r="P1" s="128">
        <v>46076.0</v>
      </c>
      <c r="Q1" s="128">
        <v>46073.0</v>
      </c>
      <c r="R1" s="128">
        <v>46070.0</v>
      </c>
      <c r="S1" s="128">
        <v>46069.0</v>
      </c>
      <c r="T1" s="128">
        <v>46066.0</v>
      </c>
      <c r="U1" s="128">
        <v>46063.0</v>
      </c>
      <c r="V1" s="128">
        <v>46062.0</v>
      </c>
      <c r="W1" s="128">
        <v>46056.0</v>
      </c>
      <c r="X1" s="128">
        <v>46055.0</v>
      </c>
      <c r="Y1" s="128">
        <v>46052.0</v>
      </c>
      <c r="Z1" s="128">
        <v>46049.0</v>
      </c>
      <c r="AA1" s="128">
        <v>46045.0</v>
      </c>
      <c r="AB1" s="128">
        <v>46042.0</v>
      </c>
      <c r="AC1" s="128">
        <v>46041.0</v>
      </c>
      <c r="AD1" s="128">
        <v>46038.0</v>
      </c>
      <c r="AE1" s="128">
        <v>46035.0</v>
      </c>
      <c r="AF1" s="128">
        <v>46034.0</v>
      </c>
      <c r="AG1" s="128">
        <v>46031.0</v>
      </c>
      <c r="AH1" s="128">
        <v>46028.0</v>
      </c>
      <c r="AI1" s="128">
        <v>46027.0</v>
      </c>
      <c r="AJ1" s="128">
        <v>46024.0</v>
      </c>
      <c r="AK1" s="128">
        <v>46013.0</v>
      </c>
      <c r="AL1" s="128">
        <v>46010.0</v>
      </c>
      <c r="AM1" s="128">
        <v>46009.0</v>
      </c>
      <c r="AN1" s="128">
        <v>46007.0</v>
      </c>
      <c r="AO1" s="128">
        <v>46006.0</v>
      </c>
      <c r="AP1" s="128">
        <v>46003.0</v>
      </c>
      <c r="AQ1" s="128">
        <v>46002.0</v>
      </c>
      <c r="AR1" s="128">
        <v>46000.0</v>
      </c>
      <c r="AS1" s="128">
        <v>45999.0</v>
      </c>
      <c r="AT1" s="128">
        <v>45996.0</v>
      </c>
      <c r="AU1" s="128">
        <v>45995.0</v>
      </c>
      <c r="AV1" s="128">
        <v>45993.0</v>
      </c>
      <c r="AW1" s="128">
        <v>45992.0</v>
      </c>
      <c r="AX1" s="128">
        <v>45989.0</v>
      </c>
      <c r="AY1" s="128">
        <v>45988.0</v>
      </c>
      <c r="AZ1" s="128">
        <v>45986.0</v>
      </c>
      <c r="BA1" s="128">
        <v>45985.0</v>
      </c>
      <c r="BB1" s="128">
        <v>45982.0</v>
      </c>
      <c r="BC1" s="128">
        <v>45981.0</v>
      </c>
      <c r="BD1" s="128">
        <v>45979.0</v>
      </c>
      <c r="BE1" s="128">
        <v>45978.0</v>
      </c>
    </row>
    <row r="2">
      <c r="A2" s="113" t="s">
        <v>1148</v>
      </c>
      <c r="B2" s="113">
        <v>6.366096073E9</v>
      </c>
      <c r="C2" s="113" t="s">
        <v>1149</v>
      </c>
      <c r="D2" s="117" t="s">
        <v>970</v>
      </c>
      <c r="E2" s="114" t="s">
        <v>971</v>
      </c>
      <c r="F2" s="113" t="b">
        <v>0</v>
      </c>
      <c r="G2" s="113" t="b">
        <v>0</v>
      </c>
      <c r="H2" s="113" t="b">
        <v>1</v>
      </c>
      <c r="I2" s="113" t="b">
        <v>0</v>
      </c>
      <c r="J2" s="113" t="b">
        <v>0</v>
      </c>
      <c r="K2" s="113" t="b">
        <v>1</v>
      </c>
      <c r="L2" s="113" t="b">
        <v>1</v>
      </c>
      <c r="M2" s="113" t="b">
        <v>1</v>
      </c>
      <c r="N2" s="113" t="b">
        <v>1</v>
      </c>
      <c r="O2" s="113" t="b">
        <v>1</v>
      </c>
      <c r="P2" s="113" t="b">
        <v>1</v>
      </c>
      <c r="Q2" s="113" t="b">
        <v>1</v>
      </c>
      <c r="R2" s="113" t="b">
        <v>1</v>
      </c>
      <c r="S2" s="113" t="b">
        <v>1</v>
      </c>
      <c r="T2" s="113" t="b">
        <v>1</v>
      </c>
      <c r="U2" s="113" t="b">
        <v>0</v>
      </c>
      <c r="V2" s="113" t="b">
        <v>1</v>
      </c>
      <c r="W2" s="113" t="b">
        <v>1</v>
      </c>
      <c r="X2" s="113" t="b">
        <v>1</v>
      </c>
      <c r="Y2" s="113" t="b">
        <v>1</v>
      </c>
      <c r="Z2" s="113" t="b">
        <v>1</v>
      </c>
      <c r="AA2" s="113" t="b">
        <v>1</v>
      </c>
      <c r="AB2" s="113" t="b">
        <v>1</v>
      </c>
      <c r="AC2" s="113" t="b">
        <v>1</v>
      </c>
      <c r="AD2" s="113" t="b">
        <v>0</v>
      </c>
      <c r="AE2" s="113" t="b">
        <v>0</v>
      </c>
      <c r="AF2" s="113" t="b">
        <v>0</v>
      </c>
      <c r="AG2" s="113" t="b">
        <v>0</v>
      </c>
      <c r="AH2" s="113" t="b">
        <v>0</v>
      </c>
      <c r="AI2" s="113" t="b">
        <v>0</v>
      </c>
      <c r="AJ2" s="113" t="b">
        <v>1</v>
      </c>
      <c r="AK2" s="113" t="b">
        <v>1</v>
      </c>
      <c r="AL2" s="113" t="b">
        <v>0</v>
      </c>
      <c r="AM2" s="113" t="b">
        <v>1</v>
      </c>
      <c r="AN2" s="113" t="b">
        <v>1</v>
      </c>
      <c r="AO2" s="113" t="b">
        <v>1</v>
      </c>
      <c r="AP2" s="113" t="b">
        <v>1</v>
      </c>
      <c r="AQ2" s="113" t="b">
        <v>1</v>
      </c>
      <c r="AR2" s="113" t="b">
        <v>0</v>
      </c>
      <c r="AS2" s="113" t="b">
        <v>0</v>
      </c>
      <c r="AT2" s="113" t="b">
        <v>0</v>
      </c>
      <c r="AU2" s="113" t="b">
        <v>0</v>
      </c>
      <c r="AV2" s="113" t="b">
        <v>1</v>
      </c>
      <c r="AW2" s="113" t="b">
        <v>1</v>
      </c>
      <c r="AX2" s="113" t="b">
        <v>1</v>
      </c>
      <c r="AY2" s="113" t="b">
        <v>0</v>
      </c>
      <c r="AZ2" s="113" t="b">
        <v>1</v>
      </c>
      <c r="BA2" s="113" t="b">
        <v>1</v>
      </c>
      <c r="BB2" s="113" t="b">
        <v>1</v>
      </c>
      <c r="BC2" s="113" t="b">
        <v>1</v>
      </c>
      <c r="BD2" s="113" t="b">
        <v>1</v>
      </c>
      <c r="BE2" s="113" t="b">
        <v>1</v>
      </c>
    </row>
    <row r="3">
      <c r="A3" s="121" t="s">
        <v>1150</v>
      </c>
      <c r="B3" s="121">
        <v>9.879737018E9</v>
      </c>
      <c r="C3" s="121" t="s">
        <v>1151</v>
      </c>
      <c r="D3" s="129" t="s">
        <v>970</v>
      </c>
      <c r="E3" s="112"/>
      <c r="F3" s="121" t="b">
        <v>0</v>
      </c>
      <c r="G3" s="121" t="b">
        <v>0</v>
      </c>
      <c r="H3" s="121" t="b">
        <v>1</v>
      </c>
      <c r="I3" s="121" t="b">
        <v>0</v>
      </c>
      <c r="J3" s="121" t="b">
        <v>1</v>
      </c>
      <c r="K3" s="121" t="b">
        <v>1</v>
      </c>
      <c r="L3" s="121" t="b">
        <v>1</v>
      </c>
      <c r="M3" s="121" t="b">
        <v>1</v>
      </c>
      <c r="N3" s="121" t="b">
        <v>1</v>
      </c>
      <c r="O3" s="121" t="b">
        <v>1</v>
      </c>
      <c r="P3" s="121" t="b">
        <v>1</v>
      </c>
      <c r="Q3" s="121" t="b">
        <v>1</v>
      </c>
      <c r="R3" s="121" t="b">
        <v>1</v>
      </c>
      <c r="S3" s="121" t="b">
        <v>1</v>
      </c>
      <c r="T3" s="121" t="b">
        <v>1</v>
      </c>
      <c r="U3" s="121" t="b">
        <v>0</v>
      </c>
      <c r="V3" s="121" t="b">
        <v>1</v>
      </c>
      <c r="W3" s="121" t="b">
        <v>1</v>
      </c>
      <c r="X3" s="121" t="b">
        <v>1</v>
      </c>
      <c r="Y3" s="121" t="b">
        <v>1</v>
      </c>
      <c r="Z3" s="121" t="b">
        <v>1</v>
      </c>
      <c r="AA3" s="121" t="b">
        <v>1</v>
      </c>
      <c r="AB3" s="121" t="b">
        <v>1</v>
      </c>
      <c r="AC3" s="121" t="b">
        <v>1</v>
      </c>
      <c r="AD3" s="121" t="b">
        <v>0</v>
      </c>
      <c r="AE3" s="121" t="b">
        <v>0</v>
      </c>
      <c r="AF3" s="121" t="b">
        <v>0</v>
      </c>
      <c r="AG3" s="121" t="b">
        <v>0</v>
      </c>
      <c r="AH3" s="121" t="b">
        <v>0</v>
      </c>
      <c r="AI3" s="121" t="b">
        <v>0</v>
      </c>
      <c r="AJ3" s="121" t="b">
        <v>1</v>
      </c>
      <c r="AK3" s="121" t="b">
        <v>1</v>
      </c>
      <c r="AL3" s="121" t="b">
        <v>0</v>
      </c>
      <c r="AM3" s="121" t="b">
        <v>1</v>
      </c>
      <c r="AN3" s="121" t="b">
        <v>1</v>
      </c>
      <c r="AO3" s="121" t="b">
        <v>1</v>
      </c>
      <c r="AP3" s="121" t="b">
        <v>1</v>
      </c>
      <c r="AQ3" s="121" t="b">
        <v>1</v>
      </c>
      <c r="AR3" s="121" t="b">
        <v>1</v>
      </c>
      <c r="AS3" s="121" t="b">
        <v>1</v>
      </c>
      <c r="AT3" s="121" t="b">
        <v>1</v>
      </c>
      <c r="AU3" s="121" t="b">
        <v>1</v>
      </c>
      <c r="AV3" s="121" t="b">
        <v>1</v>
      </c>
      <c r="AW3" s="121" t="b">
        <v>1</v>
      </c>
      <c r="AX3" s="121" t="b">
        <v>1</v>
      </c>
      <c r="AY3" s="121" t="b">
        <v>1</v>
      </c>
      <c r="AZ3" s="121" t="b">
        <v>1</v>
      </c>
      <c r="BA3" s="121" t="b">
        <v>1</v>
      </c>
      <c r="BB3" s="121" t="b">
        <v>0</v>
      </c>
      <c r="BC3" s="121" t="b">
        <v>0</v>
      </c>
      <c r="BD3" s="121" t="b">
        <v>0</v>
      </c>
      <c r="BE3" s="121" t="b">
        <v>0</v>
      </c>
    </row>
    <row r="4">
      <c r="A4" s="119" t="s">
        <v>1152</v>
      </c>
      <c r="B4" s="119">
        <v>7.049134951E9</v>
      </c>
      <c r="C4" s="119" t="s">
        <v>1153</v>
      </c>
      <c r="D4" s="130" t="s">
        <v>22</v>
      </c>
      <c r="E4" s="131" t="s">
        <v>980</v>
      </c>
      <c r="F4" s="119" t="b">
        <v>1</v>
      </c>
      <c r="G4" s="119" t="b">
        <v>0</v>
      </c>
      <c r="H4" s="119" t="b">
        <v>0</v>
      </c>
      <c r="I4" s="119" t="b">
        <v>0</v>
      </c>
      <c r="J4" s="119" t="b">
        <v>0</v>
      </c>
      <c r="K4" s="119" t="b">
        <v>1</v>
      </c>
      <c r="L4" s="119" t="b">
        <v>0</v>
      </c>
      <c r="M4" s="119" t="b">
        <v>1</v>
      </c>
      <c r="N4" s="119" t="b">
        <v>0</v>
      </c>
      <c r="O4" s="119" t="b">
        <v>1</v>
      </c>
      <c r="P4" s="119" t="b">
        <v>1</v>
      </c>
      <c r="Q4" s="119" t="b">
        <v>0</v>
      </c>
      <c r="R4" s="119" t="b">
        <v>0</v>
      </c>
      <c r="S4" s="119" t="b">
        <v>0</v>
      </c>
      <c r="T4" s="119" t="b">
        <v>0</v>
      </c>
      <c r="U4" s="119" t="b">
        <v>1</v>
      </c>
      <c r="V4" s="119" t="b">
        <v>1</v>
      </c>
      <c r="W4" s="119" t="b">
        <v>1</v>
      </c>
      <c r="X4" s="119" t="b">
        <v>1</v>
      </c>
      <c r="Y4" s="119" t="b">
        <v>1</v>
      </c>
      <c r="Z4" s="119" t="b">
        <v>0</v>
      </c>
      <c r="AA4" s="119" t="b">
        <v>0</v>
      </c>
      <c r="AB4" s="119" t="b">
        <v>1</v>
      </c>
      <c r="AC4" s="119" t="b">
        <v>1</v>
      </c>
      <c r="AD4" s="119" t="b">
        <v>1</v>
      </c>
      <c r="AE4" s="119" t="b">
        <v>1</v>
      </c>
      <c r="AF4" s="119" t="b">
        <v>1</v>
      </c>
      <c r="AG4" s="119" t="b">
        <v>0</v>
      </c>
      <c r="AH4" s="119" t="b">
        <v>0</v>
      </c>
      <c r="AI4" s="119" t="b">
        <v>0</v>
      </c>
      <c r="AJ4" s="119" t="b">
        <v>1</v>
      </c>
      <c r="AK4" s="119" t="b">
        <v>1</v>
      </c>
      <c r="AL4" s="119" t="b">
        <v>1</v>
      </c>
      <c r="AM4" s="119" t="b">
        <v>1</v>
      </c>
      <c r="AN4" s="119" t="b">
        <v>1</v>
      </c>
      <c r="AO4" s="119" t="b">
        <v>1</v>
      </c>
      <c r="AP4" s="119" t="b">
        <v>1</v>
      </c>
      <c r="AQ4" s="119" t="b">
        <v>1</v>
      </c>
      <c r="AR4" s="119" t="b">
        <v>1</v>
      </c>
      <c r="AS4" s="119" t="b">
        <v>1</v>
      </c>
      <c r="AT4" s="119" t="b">
        <v>1</v>
      </c>
      <c r="AU4" s="119" t="b">
        <v>0</v>
      </c>
      <c r="AV4" s="119" t="b">
        <v>1</v>
      </c>
      <c r="AW4" s="119" t="b">
        <v>1</v>
      </c>
      <c r="AX4" s="119" t="b">
        <v>1</v>
      </c>
      <c r="AY4" s="119" t="b">
        <v>1</v>
      </c>
      <c r="AZ4" s="119" t="b">
        <v>1</v>
      </c>
      <c r="BA4" s="119" t="b">
        <v>1</v>
      </c>
      <c r="BB4" s="119" t="b">
        <v>1</v>
      </c>
      <c r="BC4" s="119" t="b">
        <v>1</v>
      </c>
      <c r="BD4" s="119" t="b">
        <v>1</v>
      </c>
      <c r="BE4" s="119" t="b">
        <v>1</v>
      </c>
    </row>
    <row r="5">
      <c r="A5" s="119" t="s">
        <v>1154</v>
      </c>
      <c r="B5" s="119">
        <v>9.75491908E9</v>
      </c>
      <c r="C5" s="119" t="s">
        <v>1155</v>
      </c>
      <c r="D5" s="130" t="s">
        <v>22</v>
      </c>
      <c r="F5" s="119" t="b">
        <v>1</v>
      </c>
      <c r="G5" s="119" t="b">
        <v>0</v>
      </c>
      <c r="H5" s="119" t="b">
        <v>0</v>
      </c>
      <c r="I5" s="119" t="b">
        <v>0</v>
      </c>
      <c r="J5" s="119" t="b">
        <v>0</v>
      </c>
      <c r="K5" s="119" t="b">
        <v>1</v>
      </c>
      <c r="L5" s="119" t="b">
        <v>1</v>
      </c>
      <c r="M5" s="119" t="b">
        <v>1</v>
      </c>
      <c r="N5" s="119" t="b">
        <v>0</v>
      </c>
      <c r="O5" s="119" t="b">
        <v>0</v>
      </c>
      <c r="P5" s="119" t="b">
        <v>0</v>
      </c>
      <c r="Q5" s="119" t="b">
        <v>0</v>
      </c>
      <c r="R5" s="119" t="b">
        <v>0</v>
      </c>
      <c r="S5" s="119" t="b">
        <v>0</v>
      </c>
      <c r="T5" s="119" t="b">
        <v>0</v>
      </c>
      <c r="U5" s="119" t="b">
        <v>0</v>
      </c>
      <c r="V5" s="119" t="b">
        <v>0</v>
      </c>
      <c r="W5" s="119" t="b">
        <v>0</v>
      </c>
      <c r="X5" s="119" t="b">
        <v>0</v>
      </c>
      <c r="Y5" s="119" t="b">
        <v>0</v>
      </c>
      <c r="Z5" s="119" t="b">
        <v>1</v>
      </c>
      <c r="AA5" s="119" t="b">
        <v>1</v>
      </c>
      <c r="AB5" s="119" t="b">
        <v>0</v>
      </c>
      <c r="AC5" s="119" t="b">
        <v>1</v>
      </c>
      <c r="AD5" s="119" t="b">
        <v>1</v>
      </c>
      <c r="AE5" s="119" t="b">
        <v>1</v>
      </c>
      <c r="AF5" s="119" t="b">
        <v>0</v>
      </c>
      <c r="AG5" s="119" t="b">
        <v>0</v>
      </c>
      <c r="AH5" s="119" t="b">
        <v>1</v>
      </c>
      <c r="AI5" s="119" t="b">
        <v>1</v>
      </c>
      <c r="AJ5" s="119" t="b">
        <v>1</v>
      </c>
      <c r="AK5" s="119" t="b">
        <v>1</v>
      </c>
      <c r="AL5" s="119" t="b">
        <v>1</v>
      </c>
      <c r="AM5" s="119" t="b">
        <v>1</v>
      </c>
      <c r="AN5" s="119" t="b">
        <v>1</v>
      </c>
      <c r="AO5" s="119" t="b">
        <v>1</v>
      </c>
      <c r="AP5" s="119" t="b">
        <v>0</v>
      </c>
      <c r="AQ5" s="119" t="b">
        <v>0</v>
      </c>
      <c r="AR5" s="119" t="b">
        <v>1</v>
      </c>
      <c r="AS5" s="119" t="b">
        <v>1</v>
      </c>
      <c r="AT5" s="119" t="b">
        <v>1</v>
      </c>
      <c r="AU5" s="119" t="b">
        <v>1</v>
      </c>
      <c r="AV5" s="119" t="b">
        <v>1</v>
      </c>
      <c r="AW5" s="119" t="b">
        <v>1</v>
      </c>
      <c r="AX5" s="119" t="b">
        <v>1</v>
      </c>
      <c r="AY5" s="119" t="b">
        <v>1</v>
      </c>
      <c r="AZ5" s="119" t="b">
        <v>1</v>
      </c>
      <c r="BA5" s="119" t="b">
        <v>1</v>
      </c>
      <c r="BB5" s="119" t="b">
        <v>1</v>
      </c>
      <c r="BC5" s="119" t="b">
        <v>1</v>
      </c>
      <c r="BD5" s="119" t="b">
        <v>1</v>
      </c>
      <c r="BE5" s="119" t="b">
        <v>1</v>
      </c>
    </row>
    <row r="6">
      <c r="A6" s="119" t="s">
        <v>1156</v>
      </c>
      <c r="B6" s="119">
        <v>7.225083234E9</v>
      </c>
      <c r="C6" s="119" t="s">
        <v>1157</v>
      </c>
      <c r="D6" s="130" t="s">
        <v>22</v>
      </c>
      <c r="F6" s="119" t="b">
        <v>1</v>
      </c>
      <c r="G6" s="119" t="b">
        <v>1</v>
      </c>
      <c r="H6" s="119" t="b">
        <v>1</v>
      </c>
      <c r="I6" s="119" t="b">
        <v>0</v>
      </c>
      <c r="J6" s="119" t="b">
        <v>1</v>
      </c>
      <c r="K6" s="119" t="b">
        <v>1</v>
      </c>
      <c r="L6" s="119" t="b">
        <v>1</v>
      </c>
      <c r="M6" s="119" t="b">
        <v>0</v>
      </c>
      <c r="N6" s="119" t="b">
        <v>0</v>
      </c>
      <c r="O6" s="119" t="b">
        <v>0</v>
      </c>
      <c r="P6" s="119" t="b">
        <v>0</v>
      </c>
      <c r="Q6" s="119" t="b">
        <v>0</v>
      </c>
      <c r="R6" s="119" t="b">
        <v>0</v>
      </c>
      <c r="S6" s="119" t="b">
        <v>0</v>
      </c>
      <c r="T6" s="119" t="b">
        <v>1</v>
      </c>
      <c r="U6" s="119" t="b">
        <v>1</v>
      </c>
      <c r="V6" s="119" t="b">
        <v>1</v>
      </c>
      <c r="W6" s="119" t="b">
        <v>1</v>
      </c>
      <c r="X6" s="119" t="b">
        <v>1</v>
      </c>
      <c r="Y6" s="119" t="b">
        <v>1</v>
      </c>
      <c r="Z6" s="119" t="b">
        <v>0</v>
      </c>
      <c r="AA6" s="119" t="b">
        <v>1</v>
      </c>
      <c r="AB6" s="119" t="b">
        <v>1</v>
      </c>
      <c r="AC6" s="119" t="b">
        <v>1</v>
      </c>
      <c r="AD6" s="119" t="b">
        <v>1</v>
      </c>
      <c r="AE6" s="119" t="b">
        <v>1</v>
      </c>
      <c r="AF6" s="119" t="b">
        <v>1</v>
      </c>
      <c r="AG6" s="119" t="b">
        <v>1</v>
      </c>
      <c r="AH6" s="119" t="b">
        <v>1</v>
      </c>
      <c r="AI6" s="119" t="b">
        <v>0</v>
      </c>
      <c r="AJ6" s="119" t="b">
        <v>1</v>
      </c>
      <c r="AK6" s="119" t="b">
        <v>1</v>
      </c>
      <c r="AL6" s="119" t="b">
        <v>0</v>
      </c>
      <c r="AM6" s="119" t="b">
        <v>0</v>
      </c>
      <c r="AN6" s="119" t="b">
        <v>1</v>
      </c>
      <c r="AO6" s="119" t="b">
        <v>1</v>
      </c>
      <c r="AP6" s="119" t="b">
        <v>0</v>
      </c>
      <c r="AQ6" s="119" t="b">
        <v>1</v>
      </c>
      <c r="AR6" s="119" t="b">
        <v>0</v>
      </c>
      <c r="AS6" s="119" t="b">
        <v>0</v>
      </c>
      <c r="AT6" s="119" t="b">
        <v>0</v>
      </c>
      <c r="AU6" s="119" t="b">
        <v>1</v>
      </c>
      <c r="AV6" s="119" t="b">
        <v>1</v>
      </c>
      <c r="AW6" s="119" t="b">
        <v>1</v>
      </c>
      <c r="AX6" s="119" t="b">
        <v>1</v>
      </c>
      <c r="AY6" s="119" t="b">
        <v>0</v>
      </c>
      <c r="AZ6" s="119" t="b">
        <v>0</v>
      </c>
      <c r="BA6" s="119" t="b">
        <v>0</v>
      </c>
      <c r="BB6" s="119" t="b">
        <v>1</v>
      </c>
      <c r="BC6" s="119" t="b">
        <v>1</v>
      </c>
      <c r="BD6" s="119" t="b">
        <v>1</v>
      </c>
      <c r="BE6" s="119" t="b">
        <v>0</v>
      </c>
    </row>
    <row r="7">
      <c r="A7" s="119" t="s">
        <v>1158</v>
      </c>
      <c r="B7" s="119">
        <v>7.470309405E9</v>
      </c>
      <c r="C7" s="119" t="s">
        <v>1159</v>
      </c>
      <c r="D7" s="130" t="s">
        <v>22</v>
      </c>
      <c r="F7" s="119" t="b">
        <v>1</v>
      </c>
      <c r="G7" s="119" t="b">
        <v>1</v>
      </c>
      <c r="H7" s="119" t="b">
        <v>1</v>
      </c>
      <c r="I7" s="119" t="b">
        <v>0</v>
      </c>
      <c r="J7" s="119" t="b">
        <v>0</v>
      </c>
      <c r="K7" s="119" t="b">
        <v>1</v>
      </c>
      <c r="L7" s="119" t="b">
        <v>1</v>
      </c>
      <c r="M7" s="119" t="b">
        <v>1</v>
      </c>
      <c r="N7" s="119" t="b">
        <v>0</v>
      </c>
      <c r="O7" s="119" t="b">
        <v>1</v>
      </c>
      <c r="P7" s="119" t="b">
        <v>1</v>
      </c>
      <c r="Q7" s="119" t="b">
        <v>0</v>
      </c>
      <c r="R7" s="119" t="b">
        <v>1</v>
      </c>
      <c r="S7" s="119" t="b">
        <v>1</v>
      </c>
      <c r="T7" s="119" t="b">
        <v>0</v>
      </c>
      <c r="U7" s="119" t="b">
        <v>1</v>
      </c>
      <c r="V7" s="119" t="b">
        <v>1</v>
      </c>
      <c r="W7" s="119" t="b">
        <v>1</v>
      </c>
      <c r="X7" s="119" t="b">
        <v>1</v>
      </c>
      <c r="Y7" s="119" t="b">
        <v>1</v>
      </c>
      <c r="Z7" s="119" t="b">
        <v>0</v>
      </c>
      <c r="AA7" s="119" t="b">
        <v>0</v>
      </c>
      <c r="AB7" s="119" t="b">
        <v>1</v>
      </c>
      <c r="AC7" s="119" t="b">
        <v>1</v>
      </c>
      <c r="AD7" s="119" t="b">
        <v>0</v>
      </c>
      <c r="AE7" s="119" t="b">
        <v>1</v>
      </c>
      <c r="AF7" s="119" t="b">
        <v>1</v>
      </c>
      <c r="AG7" s="119" t="b">
        <v>1</v>
      </c>
      <c r="AH7" s="119" t="b">
        <v>1</v>
      </c>
      <c r="AI7" s="119" t="b">
        <v>0</v>
      </c>
      <c r="AJ7" s="119" t="b">
        <v>1</v>
      </c>
      <c r="AK7" s="119" t="b">
        <v>1</v>
      </c>
      <c r="AL7" s="119" t="b">
        <v>1</v>
      </c>
      <c r="AM7" s="119" t="b">
        <v>0</v>
      </c>
      <c r="AN7" s="119" t="b">
        <v>0</v>
      </c>
      <c r="AO7" s="119" t="b">
        <v>0</v>
      </c>
      <c r="AP7" s="119" t="b">
        <v>1</v>
      </c>
      <c r="AQ7" s="119" t="b">
        <v>1</v>
      </c>
      <c r="AR7" s="119" t="b">
        <v>1</v>
      </c>
      <c r="AS7" s="119" t="b">
        <v>1</v>
      </c>
      <c r="AT7" s="119" t="b">
        <v>1</v>
      </c>
      <c r="AU7" s="119" t="b">
        <v>1</v>
      </c>
      <c r="AV7" s="119" t="b">
        <v>1</v>
      </c>
      <c r="AW7" s="119" t="b">
        <v>1</v>
      </c>
      <c r="AX7" s="119" t="b">
        <v>1</v>
      </c>
      <c r="AY7" s="119" t="b">
        <v>0</v>
      </c>
      <c r="AZ7" s="119" t="b">
        <v>1</v>
      </c>
      <c r="BA7" s="119" t="b">
        <v>1</v>
      </c>
      <c r="BB7" s="119" t="b">
        <v>1</v>
      </c>
      <c r="BC7" s="119" t="b">
        <v>1</v>
      </c>
      <c r="BD7" s="119" t="b">
        <v>1</v>
      </c>
      <c r="BE7" s="119" t="b">
        <v>1</v>
      </c>
    </row>
    <row r="8">
      <c r="A8" s="119" t="s">
        <v>1160</v>
      </c>
      <c r="B8" s="119">
        <v>8.982600582E9</v>
      </c>
      <c r="C8" s="119" t="s">
        <v>1161</v>
      </c>
      <c r="D8" s="130" t="s">
        <v>22</v>
      </c>
      <c r="F8" s="119" t="b">
        <v>1</v>
      </c>
      <c r="G8" s="119" t="b">
        <v>1</v>
      </c>
      <c r="H8" s="119" t="b">
        <v>0</v>
      </c>
      <c r="I8" s="119" t="b">
        <v>0</v>
      </c>
      <c r="J8" s="119" t="b">
        <v>0</v>
      </c>
      <c r="K8" s="119" t="b">
        <v>1</v>
      </c>
      <c r="L8" s="119" t="b">
        <v>1</v>
      </c>
      <c r="M8" s="119" t="b">
        <v>1</v>
      </c>
      <c r="N8" s="119" t="b">
        <v>1</v>
      </c>
      <c r="O8" s="119" t="b">
        <v>1</v>
      </c>
      <c r="P8" s="119" t="b">
        <v>1</v>
      </c>
      <c r="Q8" s="119" t="b">
        <v>1</v>
      </c>
      <c r="R8" s="119" t="b">
        <v>1</v>
      </c>
      <c r="S8" s="119" t="b">
        <v>1</v>
      </c>
      <c r="T8" s="119" t="b">
        <v>1</v>
      </c>
      <c r="U8" s="119" t="b">
        <v>1</v>
      </c>
      <c r="V8" s="119" t="b">
        <v>1</v>
      </c>
      <c r="W8" s="119" t="b">
        <v>1</v>
      </c>
      <c r="X8" s="119" t="b">
        <v>1</v>
      </c>
      <c r="Y8" s="119" t="b">
        <v>1</v>
      </c>
      <c r="Z8" s="119" t="b">
        <v>1</v>
      </c>
      <c r="AA8" s="119" t="b">
        <v>1</v>
      </c>
      <c r="AB8" s="119" t="b">
        <v>1</v>
      </c>
      <c r="AC8" s="119" t="b">
        <v>1</v>
      </c>
      <c r="AD8" s="119" t="b">
        <v>1</v>
      </c>
      <c r="AE8" s="119" t="b">
        <v>1</v>
      </c>
      <c r="AF8" s="119" t="b">
        <v>0</v>
      </c>
      <c r="AG8" s="119" t="b">
        <v>1</v>
      </c>
      <c r="AH8" s="119" t="b">
        <v>1</v>
      </c>
      <c r="AI8" s="119" t="b">
        <v>0</v>
      </c>
      <c r="AJ8" s="119" t="b">
        <v>1</v>
      </c>
      <c r="AK8" s="119" t="b">
        <v>1</v>
      </c>
      <c r="AL8" s="119" t="b">
        <v>1</v>
      </c>
      <c r="AM8" s="119" t="b">
        <v>1</v>
      </c>
      <c r="AN8" s="119" t="b">
        <v>1</v>
      </c>
      <c r="AO8" s="119" t="b">
        <v>1</v>
      </c>
      <c r="AP8" s="119" t="b">
        <v>1</v>
      </c>
      <c r="AQ8" s="119" t="b">
        <v>1</v>
      </c>
      <c r="AR8" s="119" t="b">
        <v>1</v>
      </c>
      <c r="AS8" s="119" t="b">
        <v>1</v>
      </c>
      <c r="AT8" s="119" t="b">
        <v>1</v>
      </c>
      <c r="AU8" s="119" t="b">
        <v>1</v>
      </c>
      <c r="AV8" s="119" t="b">
        <v>1</v>
      </c>
      <c r="AW8" s="119" t="b">
        <v>1</v>
      </c>
      <c r="AX8" s="119" t="b">
        <v>1</v>
      </c>
      <c r="AY8" s="119" t="b">
        <v>1</v>
      </c>
      <c r="AZ8" s="119" t="b">
        <v>1</v>
      </c>
      <c r="BA8" s="119" t="b">
        <v>1</v>
      </c>
      <c r="BB8" s="119" t="b">
        <v>1</v>
      </c>
      <c r="BC8" s="119" t="b">
        <v>1</v>
      </c>
      <c r="BD8" s="119" t="b">
        <v>1</v>
      </c>
      <c r="BE8" s="119" t="b">
        <v>1</v>
      </c>
    </row>
    <row r="9">
      <c r="A9" s="119" t="s">
        <v>1162</v>
      </c>
      <c r="B9" s="119">
        <v>7.489521459E9</v>
      </c>
      <c r="C9" s="119" t="s">
        <v>1163</v>
      </c>
      <c r="D9" s="130" t="s">
        <v>22</v>
      </c>
      <c r="F9" s="119" t="b">
        <v>0</v>
      </c>
      <c r="G9" s="119" t="b">
        <v>1</v>
      </c>
      <c r="H9" s="119" t="b">
        <v>0</v>
      </c>
      <c r="I9" s="119" t="b">
        <v>0</v>
      </c>
      <c r="J9" s="119" t="b">
        <v>0</v>
      </c>
      <c r="K9" s="119" t="b">
        <v>1</v>
      </c>
      <c r="L9" s="119" t="b">
        <v>0</v>
      </c>
      <c r="M9" s="119" t="b">
        <v>1</v>
      </c>
      <c r="N9" s="119" t="b">
        <v>0</v>
      </c>
      <c r="O9" s="119" t="b">
        <v>1</v>
      </c>
      <c r="P9" s="119" t="b">
        <v>1</v>
      </c>
      <c r="Q9" s="119" t="b">
        <v>1</v>
      </c>
      <c r="R9" s="119" t="b">
        <v>1</v>
      </c>
      <c r="S9" s="119" t="b">
        <v>1</v>
      </c>
      <c r="T9" s="119" t="b">
        <v>1</v>
      </c>
      <c r="U9" s="119" t="b">
        <v>1</v>
      </c>
      <c r="V9" s="119" t="b">
        <v>1</v>
      </c>
      <c r="W9" s="119" t="b">
        <v>1</v>
      </c>
      <c r="X9" s="119" t="b">
        <v>1</v>
      </c>
      <c r="Y9" s="119" t="b">
        <v>0</v>
      </c>
      <c r="Z9" s="119" t="b">
        <v>0</v>
      </c>
      <c r="AA9" s="119" t="b">
        <v>1</v>
      </c>
      <c r="AB9" s="119" t="b">
        <v>1</v>
      </c>
      <c r="AC9" s="119" t="b">
        <v>1</v>
      </c>
      <c r="AD9" s="119" t="b">
        <v>0</v>
      </c>
      <c r="AE9" s="119" t="b">
        <v>1</v>
      </c>
      <c r="AF9" s="119" t="b">
        <v>1</v>
      </c>
      <c r="AG9" s="119" t="b">
        <v>0</v>
      </c>
      <c r="AH9" s="119" t="b">
        <v>0</v>
      </c>
      <c r="AI9" s="119" t="b">
        <v>0</v>
      </c>
      <c r="AJ9" s="119" t="b">
        <v>1</v>
      </c>
      <c r="AK9" s="119" t="b">
        <v>1</v>
      </c>
      <c r="AL9" s="119" t="b">
        <v>1</v>
      </c>
      <c r="AM9" s="119" t="b">
        <v>1</v>
      </c>
      <c r="AN9" s="119" t="b">
        <v>1</v>
      </c>
      <c r="AO9" s="119" t="b">
        <v>1</v>
      </c>
      <c r="AP9" s="119" t="b">
        <v>0</v>
      </c>
      <c r="AQ9" s="119" t="b">
        <v>0</v>
      </c>
      <c r="AR9" s="119" t="b">
        <v>0</v>
      </c>
      <c r="AS9" s="119" t="b">
        <v>1</v>
      </c>
      <c r="AT9" s="119" t="b">
        <v>0</v>
      </c>
      <c r="AU9" s="119" t="b">
        <v>1</v>
      </c>
      <c r="AV9" s="119" t="b">
        <v>0</v>
      </c>
      <c r="AW9" s="119" t="b">
        <v>0</v>
      </c>
      <c r="AX9" s="119" t="b">
        <v>0</v>
      </c>
      <c r="AY9" s="119" t="b">
        <v>0</v>
      </c>
      <c r="AZ9" s="119" t="b">
        <v>1</v>
      </c>
      <c r="BA9" s="119" t="b">
        <v>1</v>
      </c>
      <c r="BB9" s="119" t="b">
        <v>1</v>
      </c>
      <c r="BC9" s="119" t="b">
        <v>1</v>
      </c>
      <c r="BD9" s="119" t="b">
        <v>1</v>
      </c>
      <c r="BE9" s="119" t="b">
        <v>1</v>
      </c>
    </row>
    <row r="10">
      <c r="A10" s="119" t="s">
        <v>1164</v>
      </c>
      <c r="B10" s="119">
        <v>8.302781435E9</v>
      </c>
      <c r="C10" s="119" t="s">
        <v>1165</v>
      </c>
      <c r="D10" s="130" t="s">
        <v>22</v>
      </c>
      <c r="F10" s="119" t="b">
        <v>0</v>
      </c>
      <c r="G10" s="119" t="b">
        <v>0</v>
      </c>
      <c r="H10" s="119" t="b">
        <v>1</v>
      </c>
      <c r="I10" s="119" t="b">
        <v>0</v>
      </c>
      <c r="J10" s="119" t="b">
        <v>0</v>
      </c>
      <c r="K10" s="119" t="b">
        <v>1</v>
      </c>
      <c r="L10" s="119" t="b">
        <v>0</v>
      </c>
      <c r="M10" s="119" t="b">
        <v>1</v>
      </c>
      <c r="N10" s="119" t="b">
        <v>0</v>
      </c>
      <c r="O10" s="119" t="b">
        <v>1</v>
      </c>
      <c r="P10" s="119" t="b">
        <v>0</v>
      </c>
      <c r="Q10" s="119" t="b">
        <v>0</v>
      </c>
      <c r="R10" s="119" t="b">
        <v>1</v>
      </c>
      <c r="S10" s="119" t="b">
        <v>1</v>
      </c>
      <c r="T10" s="119" t="b">
        <v>0</v>
      </c>
      <c r="U10" s="119" t="b">
        <v>1</v>
      </c>
      <c r="V10" s="119" t="b">
        <v>1</v>
      </c>
      <c r="W10" s="119" t="b">
        <v>0</v>
      </c>
      <c r="X10" s="119" t="b">
        <v>1</v>
      </c>
      <c r="Y10" s="119" t="b">
        <v>1</v>
      </c>
      <c r="Z10" s="119" t="b">
        <v>0</v>
      </c>
      <c r="AA10" s="119" t="b">
        <v>1</v>
      </c>
      <c r="AB10" s="119" t="b">
        <v>1</v>
      </c>
      <c r="AC10" s="119" t="b">
        <v>1</v>
      </c>
      <c r="AD10" s="119" t="b">
        <v>1</v>
      </c>
      <c r="AE10" s="119" t="b">
        <v>1</v>
      </c>
      <c r="AF10" s="119" t="b">
        <v>1</v>
      </c>
      <c r="AG10" s="119" t="b">
        <v>1</v>
      </c>
      <c r="AH10" s="119" t="b">
        <v>0</v>
      </c>
      <c r="AI10" s="119" t="b">
        <v>0</v>
      </c>
      <c r="AJ10" s="119" t="b">
        <v>1</v>
      </c>
      <c r="AK10" s="119" t="b">
        <v>1</v>
      </c>
      <c r="AL10" s="119" t="b">
        <v>0</v>
      </c>
      <c r="AM10" s="119" t="b">
        <v>1</v>
      </c>
      <c r="AN10" s="119" t="b">
        <v>1</v>
      </c>
      <c r="AO10" s="119" t="b">
        <v>0</v>
      </c>
      <c r="AP10" s="119" t="b">
        <v>0</v>
      </c>
      <c r="AQ10" s="119" t="b">
        <v>0</v>
      </c>
      <c r="AR10" s="119" t="b">
        <v>1</v>
      </c>
      <c r="AS10" s="119" t="b">
        <v>1</v>
      </c>
      <c r="AT10" s="119" t="b">
        <v>1</v>
      </c>
      <c r="AU10" s="119" t="b">
        <v>1</v>
      </c>
      <c r="AV10" s="119" t="b">
        <v>1</v>
      </c>
      <c r="AW10" s="119" t="b">
        <v>0</v>
      </c>
      <c r="AX10" s="119" t="b">
        <v>0</v>
      </c>
      <c r="AY10" s="119" t="b">
        <v>1</v>
      </c>
      <c r="AZ10" s="119" t="b">
        <v>0</v>
      </c>
      <c r="BA10" s="119" t="b">
        <v>0</v>
      </c>
      <c r="BB10" s="119" t="b">
        <v>1</v>
      </c>
      <c r="BC10" s="119" t="b">
        <v>0</v>
      </c>
      <c r="BD10" s="119" t="b">
        <v>0</v>
      </c>
      <c r="BE10" s="119" t="b">
        <v>0</v>
      </c>
    </row>
    <row r="11">
      <c r="A11" s="119" t="s">
        <v>1166</v>
      </c>
      <c r="B11" s="119">
        <v>6.266086867E9</v>
      </c>
      <c r="C11" s="119" t="s">
        <v>1167</v>
      </c>
      <c r="D11" s="130" t="s">
        <v>22</v>
      </c>
      <c r="F11" s="119" t="b">
        <v>0</v>
      </c>
      <c r="G11" s="119" t="b">
        <v>0</v>
      </c>
      <c r="H11" s="119" t="b">
        <v>0</v>
      </c>
      <c r="I11" s="119" t="b">
        <v>1</v>
      </c>
      <c r="J11" s="119" t="b">
        <v>0</v>
      </c>
      <c r="K11" s="119" t="b">
        <v>0</v>
      </c>
      <c r="L11" s="119" t="b">
        <v>0</v>
      </c>
      <c r="M11" s="119" t="b">
        <v>0</v>
      </c>
      <c r="N11" s="119" t="b">
        <v>1</v>
      </c>
      <c r="O11" s="119" t="b">
        <v>0</v>
      </c>
      <c r="P11" s="119" t="b">
        <v>0</v>
      </c>
      <c r="Q11" s="119" t="b">
        <v>0</v>
      </c>
      <c r="R11" s="119" t="b">
        <v>0</v>
      </c>
      <c r="S11" s="119" t="b">
        <v>1</v>
      </c>
      <c r="T11" s="119" t="b">
        <v>1</v>
      </c>
      <c r="U11" s="119" t="b">
        <v>0</v>
      </c>
      <c r="V11" s="119" t="b">
        <v>0</v>
      </c>
      <c r="W11" s="119" t="b">
        <v>0</v>
      </c>
      <c r="X11" s="119" t="b">
        <v>1</v>
      </c>
      <c r="Y11" s="119" t="b">
        <v>0</v>
      </c>
      <c r="Z11" s="119" t="b">
        <v>0</v>
      </c>
      <c r="AA11" s="119" t="b">
        <v>0</v>
      </c>
      <c r="AB11" s="119" t="b">
        <v>0</v>
      </c>
      <c r="AC11" s="119" t="b">
        <v>0</v>
      </c>
      <c r="AD11" s="119" t="b">
        <v>1</v>
      </c>
      <c r="AE11" s="119" t="b">
        <v>0</v>
      </c>
      <c r="AF11" s="119" t="b">
        <v>0</v>
      </c>
      <c r="AG11" s="119" t="b">
        <v>0</v>
      </c>
      <c r="AH11" s="119" t="b">
        <v>0</v>
      </c>
      <c r="AI11" s="119" t="b">
        <v>0</v>
      </c>
      <c r="AJ11" s="119" t="b">
        <v>0</v>
      </c>
      <c r="AK11" s="119" t="b">
        <v>0</v>
      </c>
      <c r="AL11" s="119" t="b">
        <v>0</v>
      </c>
      <c r="AM11" s="119" t="b">
        <v>0</v>
      </c>
      <c r="AN11" s="119" t="b">
        <v>0</v>
      </c>
      <c r="AO11" s="119" t="b">
        <v>0</v>
      </c>
      <c r="AP11" s="119" t="b">
        <v>0</v>
      </c>
      <c r="AQ11" s="119" t="b">
        <v>0</v>
      </c>
      <c r="AR11" s="119" t="b">
        <v>0</v>
      </c>
      <c r="AS11" s="119" t="b">
        <v>0</v>
      </c>
      <c r="AT11" s="119" t="b">
        <v>0</v>
      </c>
      <c r="AU11" s="119" t="b">
        <v>0</v>
      </c>
      <c r="AV11" s="119" t="b">
        <v>0</v>
      </c>
      <c r="AW11" s="119" t="b">
        <v>0</v>
      </c>
      <c r="AX11" s="119" t="b">
        <v>0</v>
      </c>
      <c r="AY11" s="119" t="b">
        <v>0</v>
      </c>
      <c r="AZ11" s="119" t="b">
        <v>0</v>
      </c>
      <c r="BA11" s="119" t="b">
        <v>0</v>
      </c>
      <c r="BB11" s="119" t="b">
        <v>1</v>
      </c>
      <c r="BC11" s="119" t="b">
        <v>0</v>
      </c>
      <c r="BD11" s="119" t="b">
        <v>0</v>
      </c>
      <c r="BE11" s="119" t="b">
        <v>0</v>
      </c>
    </row>
    <row r="12">
      <c r="A12" s="132" t="s">
        <v>1168</v>
      </c>
      <c r="B12" s="132">
        <v>8.889534436E9</v>
      </c>
      <c r="C12" s="132" t="s">
        <v>1169</v>
      </c>
      <c r="D12" s="133" t="s">
        <v>1170</v>
      </c>
      <c r="E12" s="112"/>
      <c r="F12" s="132" t="b">
        <v>1</v>
      </c>
      <c r="G12" s="132" t="b">
        <v>1</v>
      </c>
      <c r="H12" s="132" t="b">
        <v>1</v>
      </c>
      <c r="I12" s="132" t="b">
        <v>1</v>
      </c>
      <c r="J12" s="132" t="b">
        <v>1</v>
      </c>
      <c r="K12" s="132" t="b">
        <v>1</v>
      </c>
      <c r="L12" s="132" t="b">
        <v>1</v>
      </c>
      <c r="M12" s="132" t="b">
        <v>1</v>
      </c>
      <c r="N12" s="132" t="b">
        <v>1</v>
      </c>
      <c r="O12" s="132" t="b">
        <v>1</v>
      </c>
      <c r="P12" s="132" t="b">
        <v>1</v>
      </c>
      <c r="Q12" s="132" t="b">
        <v>1</v>
      </c>
      <c r="R12" s="132" t="b">
        <v>1</v>
      </c>
      <c r="S12" s="132" t="b">
        <v>1</v>
      </c>
      <c r="T12" s="132" t="b">
        <v>1</v>
      </c>
      <c r="U12" s="132" t="b">
        <v>1</v>
      </c>
      <c r="V12" s="132" t="b">
        <v>1</v>
      </c>
      <c r="W12" s="132" t="b">
        <v>1</v>
      </c>
      <c r="X12" s="132" t="b">
        <v>1</v>
      </c>
      <c r="Y12" s="132" t="b">
        <v>1</v>
      </c>
      <c r="Z12" s="132" t="b">
        <v>0</v>
      </c>
      <c r="AA12" s="132" t="b">
        <v>1</v>
      </c>
      <c r="AB12" s="132" t="b">
        <v>1</v>
      </c>
      <c r="AC12" s="132" t="b">
        <v>1</v>
      </c>
      <c r="AD12" s="132" t="b">
        <v>1</v>
      </c>
      <c r="AE12" s="132" t="b">
        <v>1</v>
      </c>
      <c r="AF12" s="132" t="b">
        <v>0</v>
      </c>
      <c r="AG12" s="132" t="b">
        <v>1</v>
      </c>
      <c r="AH12" s="132" t="b">
        <v>1</v>
      </c>
      <c r="AI12" s="132" t="b">
        <v>1</v>
      </c>
      <c r="AJ12" s="132" t="b">
        <v>0</v>
      </c>
      <c r="AK12" s="132" t="b">
        <v>1</v>
      </c>
      <c r="AL12" s="132" t="b">
        <v>1</v>
      </c>
      <c r="AM12" s="132" t="b">
        <v>1</v>
      </c>
      <c r="AN12" s="132" t="b">
        <v>1</v>
      </c>
      <c r="AO12" s="132" t="b">
        <v>0</v>
      </c>
      <c r="AP12" s="132" t="b">
        <v>1</v>
      </c>
      <c r="AQ12" s="132" t="b">
        <v>1</v>
      </c>
      <c r="AR12" s="132" t="b">
        <v>1</v>
      </c>
      <c r="AS12" s="132" t="b">
        <v>0</v>
      </c>
      <c r="AT12" s="132" t="b">
        <v>0</v>
      </c>
      <c r="AU12" s="132" t="b">
        <v>0</v>
      </c>
      <c r="AV12" s="132" t="b">
        <v>0</v>
      </c>
      <c r="AW12" s="132" t="b">
        <v>0</v>
      </c>
      <c r="AX12" s="132" t="b">
        <v>0</v>
      </c>
      <c r="AY12" s="132" t="b">
        <v>0</v>
      </c>
      <c r="AZ12" s="132" t="b">
        <v>0</v>
      </c>
      <c r="BA12" s="132" t="b">
        <v>0</v>
      </c>
      <c r="BB12" s="132" t="b">
        <v>0</v>
      </c>
      <c r="BC12" s="132" t="b">
        <v>0</v>
      </c>
      <c r="BD12" s="132" t="b">
        <v>0</v>
      </c>
      <c r="BE12" s="132" t="b">
        <v>0</v>
      </c>
    </row>
    <row r="13">
      <c r="A13" s="113" t="s">
        <v>1171</v>
      </c>
      <c r="B13" s="113">
        <v>9.616405901E9</v>
      </c>
      <c r="C13" s="113" t="s">
        <v>1172</v>
      </c>
      <c r="D13" s="117" t="s">
        <v>83</v>
      </c>
      <c r="E13" s="114" t="s">
        <v>1003</v>
      </c>
      <c r="F13" s="113" t="b">
        <v>0</v>
      </c>
      <c r="G13" s="113" t="b">
        <v>0</v>
      </c>
      <c r="H13" s="113" t="b">
        <v>0</v>
      </c>
      <c r="I13" s="113" t="b">
        <v>0</v>
      </c>
      <c r="J13" s="113" t="b">
        <v>0</v>
      </c>
      <c r="K13" s="113" t="b">
        <v>0</v>
      </c>
      <c r="L13" s="113" t="b">
        <v>1</v>
      </c>
      <c r="M13" s="113" t="b">
        <v>1</v>
      </c>
      <c r="N13" s="113" t="b">
        <v>0</v>
      </c>
      <c r="O13" s="113" t="b">
        <v>1</v>
      </c>
      <c r="P13" s="113" t="b">
        <v>1</v>
      </c>
      <c r="Q13" s="113" t="b">
        <v>1</v>
      </c>
      <c r="R13" s="113" t="b">
        <v>1</v>
      </c>
      <c r="S13" s="113" t="b">
        <v>1</v>
      </c>
      <c r="T13" s="113" t="b">
        <v>1</v>
      </c>
      <c r="U13" s="113" t="b">
        <v>0</v>
      </c>
      <c r="V13" s="113" t="b">
        <v>0</v>
      </c>
      <c r="W13" s="113" t="b">
        <v>1</v>
      </c>
      <c r="X13" s="113" t="b">
        <v>1</v>
      </c>
      <c r="Y13" s="113" t="b">
        <v>1</v>
      </c>
      <c r="Z13" s="113" t="b">
        <v>1</v>
      </c>
      <c r="AA13" s="113" t="b">
        <v>1</v>
      </c>
      <c r="AB13" s="113" t="b">
        <v>1</v>
      </c>
      <c r="AC13" s="113" t="b">
        <v>1</v>
      </c>
      <c r="AD13" s="113" t="b">
        <v>1</v>
      </c>
      <c r="AE13" s="113" t="b">
        <v>1</v>
      </c>
      <c r="AF13" s="113" t="b">
        <v>1</v>
      </c>
      <c r="AG13" s="113" t="b">
        <v>1</v>
      </c>
      <c r="AH13" s="113" t="b">
        <v>1</v>
      </c>
      <c r="AI13" s="113" t="b">
        <v>1</v>
      </c>
      <c r="AJ13" s="113" t="b">
        <v>0</v>
      </c>
      <c r="AK13" s="113" t="b">
        <v>0</v>
      </c>
      <c r="AL13" s="113" t="b">
        <v>1</v>
      </c>
      <c r="AM13" s="113" t="b">
        <v>1</v>
      </c>
      <c r="AN13" s="113" t="b">
        <v>1</v>
      </c>
      <c r="AO13" s="113" t="b">
        <v>1</v>
      </c>
      <c r="AP13" s="113" t="b">
        <v>1</v>
      </c>
      <c r="AQ13" s="113" t="b">
        <v>0</v>
      </c>
      <c r="AR13" s="113" t="b">
        <v>0</v>
      </c>
      <c r="AS13" s="113" t="b">
        <v>0</v>
      </c>
      <c r="AT13" s="113" t="b">
        <v>0</v>
      </c>
      <c r="AU13" s="113" t="b">
        <v>1</v>
      </c>
      <c r="AV13" s="113" t="b">
        <v>1</v>
      </c>
      <c r="AW13" s="113" t="b">
        <v>1</v>
      </c>
      <c r="AX13" s="113" t="b">
        <v>1</v>
      </c>
      <c r="AY13" s="113" t="b">
        <v>1</v>
      </c>
      <c r="AZ13" s="113" t="b">
        <v>1</v>
      </c>
      <c r="BA13" s="113" t="b">
        <v>1</v>
      </c>
      <c r="BB13" s="113" t="b">
        <v>1</v>
      </c>
      <c r="BC13" s="113" t="b">
        <v>1</v>
      </c>
      <c r="BD13" s="113" t="b">
        <v>1</v>
      </c>
      <c r="BE13" s="113" t="b">
        <v>1</v>
      </c>
    </row>
    <row r="14">
      <c r="A14" s="113" t="s">
        <v>1173</v>
      </c>
      <c r="B14" s="113">
        <v>8.707822662E9</v>
      </c>
      <c r="C14" s="113" t="s">
        <v>1174</v>
      </c>
      <c r="D14" s="117" t="s">
        <v>83</v>
      </c>
      <c r="F14" s="113" t="b">
        <v>0</v>
      </c>
      <c r="G14" s="113" t="b">
        <v>0</v>
      </c>
      <c r="H14" s="113" t="b">
        <v>0</v>
      </c>
      <c r="I14" s="113" t="b">
        <v>0</v>
      </c>
      <c r="J14" s="113" t="b">
        <v>0</v>
      </c>
      <c r="K14" s="113" t="b">
        <v>1</v>
      </c>
      <c r="L14" s="113" t="b">
        <v>0</v>
      </c>
      <c r="M14" s="113" t="b">
        <v>1</v>
      </c>
      <c r="N14" s="113" t="b">
        <v>0</v>
      </c>
      <c r="O14" s="113" t="b">
        <v>0</v>
      </c>
      <c r="P14" s="113" t="b">
        <v>0</v>
      </c>
      <c r="Q14" s="113" t="b">
        <v>1</v>
      </c>
      <c r="R14" s="113" t="b">
        <v>1</v>
      </c>
      <c r="S14" s="113" t="b">
        <v>1</v>
      </c>
      <c r="T14" s="113" t="b">
        <v>1</v>
      </c>
      <c r="U14" s="113" t="b">
        <v>1</v>
      </c>
      <c r="V14" s="113" t="b">
        <v>1</v>
      </c>
      <c r="W14" s="113" t="b">
        <v>1</v>
      </c>
      <c r="X14" s="113" t="b">
        <v>1</v>
      </c>
      <c r="Y14" s="113" t="b">
        <v>1</v>
      </c>
      <c r="Z14" s="113" t="b">
        <v>1</v>
      </c>
      <c r="AA14" s="113" t="b">
        <v>1</v>
      </c>
      <c r="AB14" s="113" t="b">
        <v>1</v>
      </c>
      <c r="AC14" s="113" t="b">
        <v>1</v>
      </c>
      <c r="AD14" s="113" t="b">
        <v>1</v>
      </c>
      <c r="AE14" s="113" t="b">
        <v>1</v>
      </c>
      <c r="AF14" s="113" t="b">
        <v>1</v>
      </c>
      <c r="AG14" s="113" t="b">
        <v>1</v>
      </c>
      <c r="AH14" s="113" t="b">
        <v>1</v>
      </c>
      <c r="AI14" s="113" t="b">
        <v>1</v>
      </c>
      <c r="AJ14" s="113" t="b">
        <v>1</v>
      </c>
      <c r="AK14" s="113" t="b">
        <v>1</v>
      </c>
      <c r="AL14" s="113" t="b">
        <v>1</v>
      </c>
      <c r="AM14" s="113" t="b">
        <v>1</v>
      </c>
      <c r="AN14" s="113" t="b">
        <v>0</v>
      </c>
      <c r="AO14" s="113" t="b">
        <v>0</v>
      </c>
      <c r="AP14" s="113" t="b">
        <v>0</v>
      </c>
      <c r="AQ14" s="113" t="b">
        <v>1</v>
      </c>
      <c r="AR14" s="113" t="b">
        <v>1</v>
      </c>
      <c r="AS14" s="113" t="b">
        <v>1</v>
      </c>
      <c r="AT14" s="113" t="b">
        <v>1</v>
      </c>
      <c r="AU14" s="113" t="b">
        <v>0</v>
      </c>
      <c r="AV14" s="113" t="b">
        <v>1</v>
      </c>
      <c r="AW14" s="113" t="b">
        <v>1</v>
      </c>
      <c r="AX14" s="113" t="b">
        <v>0</v>
      </c>
      <c r="AY14" s="113" t="b">
        <v>1</v>
      </c>
      <c r="AZ14" s="113" t="b">
        <v>1</v>
      </c>
      <c r="BA14" s="113" t="b">
        <v>1</v>
      </c>
      <c r="BB14" s="113" t="b">
        <v>1</v>
      </c>
      <c r="BC14" s="113" t="b">
        <v>1</v>
      </c>
      <c r="BD14" s="113" t="b">
        <v>1</v>
      </c>
      <c r="BE14" s="113" t="b">
        <v>1</v>
      </c>
    </row>
    <row r="15">
      <c r="A15" s="121" t="s">
        <v>1175</v>
      </c>
      <c r="B15" s="121">
        <v>9.580924112E9</v>
      </c>
      <c r="C15" s="121" t="s">
        <v>1176</v>
      </c>
      <c r="D15" s="129" t="s">
        <v>83</v>
      </c>
      <c r="E15" s="112"/>
      <c r="F15" s="121" t="b">
        <v>0</v>
      </c>
      <c r="G15" s="121" t="b">
        <v>0</v>
      </c>
      <c r="H15" s="121" t="b">
        <v>1</v>
      </c>
      <c r="I15" s="121" t="b">
        <v>1</v>
      </c>
      <c r="J15" s="121" t="b">
        <v>1</v>
      </c>
      <c r="K15" s="121" t="b">
        <v>1</v>
      </c>
      <c r="L15" s="121" t="b">
        <v>1</v>
      </c>
      <c r="M15" s="121" t="b">
        <v>1</v>
      </c>
      <c r="N15" s="121" t="b">
        <v>0</v>
      </c>
      <c r="O15" s="121" t="b">
        <v>0</v>
      </c>
      <c r="P15" s="121" t="b">
        <v>0</v>
      </c>
      <c r="Q15" s="121" t="b">
        <v>1</v>
      </c>
      <c r="R15" s="121" t="b">
        <v>0</v>
      </c>
      <c r="S15" s="121" t="b">
        <v>0</v>
      </c>
      <c r="T15" s="121" t="b">
        <v>1</v>
      </c>
      <c r="U15" s="121" t="b">
        <v>1</v>
      </c>
      <c r="V15" s="121" t="b">
        <v>1</v>
      </c>
      <c r="W15" s="121" t="b">
        <v>1</v>
      </c>
      <c r="X15" s="121" t="b">
        <v>1</v>
      </c>
      <c r="Y15" s="121" t="b">
        <v>1</v>
      </c>
      <c r="Z15" s="121" t="b">
        <v>1</v>
      </c>
      <c r="AA15" s="121" t="b">
        <v>1</v>
      </c>
      <c r="AB15" s="121" t="b">
        <v>1</v>
      </c>
      <c r="AC15" s="121" t="b">
        <v>1</v>
      </c>
      <c r="AD15" s="121" t="b">
        <v>1</v>
      </c>
      <c r="AE15" s="121" t="b">
        <v>1</v>
      </c>
      <c r="AF15" s="121" t="b">
        <v>1</v>
      </c>
      <c r="AG15" s="121" t="b">
        <v>1</v>
      </c>
      <c r="AH15" s="121" t="b">
        <v>1</v>
      </c>
      <c r="AI15" s="121" t="b">
        <v>1</v>
      </c>
      <c r="AJ15" s="121" t="b">
        <v>1</v>
      </c>
      <c r="AK15" s="121" t="b">
        <v>1</v>
      </c>
      <c r="AL15" s="121" t="b">
        <v>1</v>
      </c>
      <c r="AM15" s="121" t="b">
        <v>1</v>
      </c>
      <c r="AN15" s="121" t="b">
        <v>0</v>
      </c>
      <c r="AO15" s="121" t="b">
        <v>1</v>
      </c>
      <c r="AP15" s="121" t="b">
        <v>1</v>
      </c>
      <c r="AQ15" s="121" t="b">
        <v>1</v>
      </c>
      <c r="AR15" s="121" t="b">
        <v>1</v>
      </c>
      <c r="AS15" s="121" t="b">
        <v>1</v>
      </c>
      <c r="AT15" s="121" t="b">
        <v>1</v>
      </c>
      <c r="AU15" s="121" t="b">
        <v>0</v>
      </c>
      <c r="AV15" s="121" t="b">
        <v>1</v>
      </c>
      <c r="AW15" s="121" t="b">
        <v>1</v>
      </c>
      <c r="AX15" s="121" t="b">
        <v>1</v>
      </c>
      <c r="AY15" s="121" t="b">
        <v>1</v>
      </c>
      <c r="AZ15" s="121" t="b">
        <v>1</v>
      </c>
      <c r="BA15" s="121" t="b">
        <v>1</v>
      </c>
      <c r="BB15" s="121" t="b">
        <v>1</v>
      </c>
      <c r="BC15" s="121" t="b">
        <v>1</v>
      </c>
      <c r="BD15" s="121" t="b">
        <v>1</v>
      </c>
      <c r="BE15" s="121" t="b">
        <v>1</v>
      </c>
    </row>
    <row r="16">
      <c r="A16" s="116" t="s">
        <v>1177</v>
      </c>
      <c r="B16" s="116">
        <v>9.334768857E9</v>
      </c>
      <c r="C16" s="116" t="s">
        <v>1178</v>
      </c>
      <c r="D16" s="130" t="s">
        <v>571</v>
      </c>
      <c r="E16" s="134" t="s">
        <v>1042</v>
      </c>
      <c r="F16" s="119" t="b">
        <v>0</v>
      </c>
      <c r="G16" s="119" t="b">
        <v>0</v>
      </c>
      <c r="H16" s="119" t="b">
        <v>1</v>
      </c>
      <c r="I16" s="119" t="b">
        <v>1</v>
      </c>
      <c r="J16" s="119" t="b">
        <v>1</v>
      </c>
      <c r="K16" s="119" t="b">
        <v>0</v>
      </c>
      <c r="L16" s="119" t="b">
        <v>0</v>
      </c>
      <c r="M16" s="119" t="b">
        <v>1</v>
      </c>
      <c r="N16" s="119" t="b">
        <v>0</v>
      </c>
      <c r="O16" s="119" t="b">
        <v>1</v>
      </c>
      <c r="P16" s="119" t="b">
        <v>1</v>
      </c>
      <c r="Q16" s="119" t="b">
        <v>1</v>
      </c>
      <c r="R16" s="119" t="b">
        <v>1</v>
      </c>
      <c r="S16" s="119" t="b">
        <v>1</v>
      </c>
      <c r="T16" s="119" t="b">
        <v>0</v>
      </c>
      <c r="U16" s="119" t="b">
        <v>1</v>
      </c>
      <c r="V16" s="119" t="b">
        <v>0</v>
      </c>
      <c r="W16" s="119" t="b">
        <v>1</v>
      </c>
      <c r="X16" s="119" t="b">
        <v>1</v>
      </c>
      <c r="Y16" s="119" t="b">
        <v>0</v>
      </c>
      <c r="Z16" s="119" t="b">
        <v>1</v>
      </c>
      <c r="AA16" s="119" t="b">
        <v>1</v>
      </c>
      <c r="AB16" s="119" t="b">
        <v>1</v>
      </c>
      <c r="AC16" s="119" t="b">
        <v>1</v>
      </c>
      <c r="AD16" s="119" t="b">
        <v>1</v>
      </c>
      <c r="AE16" s="119" t="b">
        <v>1</v>
      </c>
      <c r="AF16" s="119" t="b">
        <v>0</v>
      </c>
      <c r="AG16" s="119" t="b">
        <v>0</v>
      </c>
      <c r="AH16" s="119" t="b">
        <v>1</v>
      </c>
      <c r="AI16" s="119" t="b">
        <v>1</v>
      </c>
      <c r="AJ16" s="119" t="b">
        <v>0</v>
      </c>
      <c r="AK16" s="119" t="b">
        <v>0</v>
      </c>
      <c r="AL16" s="119" t="b">
        <v>0</v>
      </c>
      <c r="AM16" s="119" t="b">
        <v>0</v>
      </c>
      <c r="AN16" s="119" t="b">
        <v>0</v>
      </c>
      <c r="AO16" s="119" t="b">
        <v>0</v>
      </c>
      <c r="AP16" s="119" t="b">
        <v>0</v>
      </c>
      <c r="AQ16" s="119" t="b">
        <v>0</v>
      </c>
      <c r="AR16" s="119" t="b">
        <v>0</v>
      </c>
      <c r="AS16" s="119" t="b">
        <v>0</v>
      </c>
      <c r="AT16" s="119" t="b">
        <v>0</v>
      </c>
      <c r="AU16" s="119" t="b">
        <v>0</v>
      </c>
      <c r="AV16" s="119" t="b">
        <v>0</v>
      </c>
      <c r="AW16" s="119" t="b">
        <v>0</v>
      </c>
      <c r="AX16" s="119" t="b">
        <v>0</v>
      </c>
      <c r="AY16" s="119" t="b">
        <v>0</v>
      </c>
      <c r="AZ16" s="119" t="b">
        <v>0</v>
      </c>
      <c r="BA16" s="119" t="b">
        <v>0</v>
      </c>
      <c r="BB16" s="119" t="b">
        <v>0</v>
      </c>
      <c r="BC16" s="119" t="b">
        <v>0</v>
      </c>
      <c r="BD16" s="119" t="b">
        <v>1</v>
      </c>
      <c r="BE16" s="119" t="b">
        <v>1</v>
      </c>
    </row>
    <row r="17">
      <c r="A17" s="119" t="s">
        <v>1179</v>
      </c>
      <c r="B17" s="119">
        <v>7.41782265E9</v>
      </c>
      <c r="C17" s="119" t="s">
        <v>1180</v>
      </c>
      <c r="D17" s="130" t="s">
        <v>571</v>
      </c>
      <c r="F17" s="119" t="b">
        <v>0</v>
      </c>
      <c r="G17" s="119" t="b">
        <v>0</v>
      </c>
      <c r="H17" s="119" t="b">
        <v>0</v>
      </c>
      <c r="I17" s="119" t="b">
        <v>0</v>
      </c>
      <c r="J17" s="119" t="b">
        <v>0</v>
      </c>
      <c r="K17" s="119" t="b">
        <v>0</v>
      </c>
      <c r="L17" s="119" t="b">
        <v>0</v>
      </c>
      <c r="M17" s="119" t="b">
        <v>0</v>
      </c>
      <c r="N17" s="119" t="b">
        <v>0</v>
      </c>
      <c r="O17" s="119" t="b">
        <v>0</v>
      </c>
      <c r="P17" s="119" t="b">
        <v>0</v>
      </c>
      <c r="Q17" s="119" t="b">
        <v>0</v>
      </c>
      <c r="R17" s="119" t="b">
        <v>0</v>
      </c>
      <c r="S17" s="119" t="b">
        <v>0</v>
      </c>
      <c r="T17" s="119" t="b">
        <v>0</v>
      </c>
      <c r="U17" s="119" t="b">
        <v>0</v>
      </c>
      <c r="V17" s="119" t="b">
        <v>0</v>
      </c>
      <c r="W17" s="119" t="b">
        <v>0</v>
      </c>
      <c r="X17" s="119" t="b">
        <v>1</v>
      </c>
      <c r="Y17" s="119" t="b">
        <v>0</v>
      </c>
      <c r="Z17" s="119" t="b">
        <v>0</v>
      </c>
      <c r="AA17" s="119" t="b">
        <v>0</v>
      </c>
      <c r="AB17" s="119" t="b">
        <v>0</v>
      </c>
      <c r="AC17" s="119" t="b">
        <v>0</v>
      </c>
      <c r="AD17" s="119" t="b">
        <v>0</v>
      </c>
      <c r="AE17" s="119" t="b">
        <v>0</v>
      </c>
      <c r="AF17" s="119" t="b">
        <v>0</v>
      </c>
      <c r="AG17" s="119" t="b">
        <v>0</v>
      </c>
      <c r="AH17" s="119" t="b">
        <v>0</v>
      </c>
      <c r="AI17" s="119" t="b">
        <v>0</v>
      </c>
      <c r="AJ17" s="119" t="b">
        <v>0</v>
      </c>
      <c r="AK17" s="119" t="b">
        <v>0</v>
      </c>
      <c r="AL17" s="119" t="b">
        <v>0</v>
      </c>
      <c r="AM17" s="119" t="b">
        <v>0</v>
      </c>
      <c r="AN17" s="119" t="b">
        <v>0</v>
      </c>
      <c r="AO17" s="119" t="b">
        <v>0</v>
      </c>
      <c r="AP17" s="119" t="b">
        <v>0</v>
      </c>
      <c r="AQ17" s="119" t="b">
        <v>0</v>
      </c>
      <c r="AR17" s="119" t="b">
        <v>0</v>
      </c>
      <c r="AS17" s="119" t="b">
        <v>0</v>
      </c>
      <c r="AT17" s="119" t="b">
        <v>0</v>
      </c>
      <c r="AU17" s="119" t="b">
        <v>0</v>
      </c>
      <c r="AV17" s="119" t="b">
        <v>0</v>
      </c>
      <c r="AW17" s="119" t="b">
        <v>0</v>
      </c>
      <c r="AX17" s="119" t="b">
        <v>0</v>
      </c>
      <c r="AY17" s="119" t="b">
        <v>0</v>
      </c>
      <c r="AZ17" s="119" t="b">
        <v>0</v>
      </c>
      <c r="BA17" s="119" t="b">
        <v>1</v>
      </c>
      <c r="BB17" s="119" t="b">
        <v>0</v>
      </c>
      <c r="BC17" s="119" t="b">
        <v>0</v>
      </c>
      <c r="BD17" s="119" t="b">
        <v>1</v>
      </c>
      <c r="BE17" s="119" t="b">
        <v>1</v>
      </c>
    </row>
    <row r="18">
      <c r="A18" s="116" t="s">
        <v>1181</v>
      </c>
      <c r="B18" s="116">
        <v>9.258983987E9</v>
      </c>
      <c r="C18" s="116" t="s">
        <v>1182</v>
      </c>
      <c r="D18" s="130" t="s">
        <v>571</v>
      </c>
      <c r="F18" s="119" t="b">
        <v>1</v>
      </c>
      <c r="G18" s="119" t="b">
        <v>1</v>
      </c>
      <c r="H18" s="119" t="b">
        <v>1</v>
      </c>
      <c r="I18" s="119" t="b">
        <v>1</v>
      </c>
      <c r="J18" s="119" t="b">
        <v>1</v>
      </c>
      <c r="K18" s="119" t="b">
        <v>1</v>
      </c>
      <c r="L18" s="119" t="b">
        <v>1</v>
      </c>
      <c r="M18" s="119" t="b">
        <v>1</v>
      </c>
      <c r="N18" s="119" t="b">
        <v>1</v>
      </c>
      <c r="O18" s="119" t="b">
        <v>1</v>
      </c>
      <c r="P18" s="119" t="b">
        <v>1</v>
      </c>
      <c r="Q18" s="119" t="b">
        <v>1</v>
      </c>
      <c r="R18" s="119" t="b">
        <v>1</v>
      </c>
      <c r="S18" s="119" t="b">
        <v>1</v>
      </c>
      <c r="T18" s="119" t="b">
        <v>1</v>
      </c>
      <c r="U18" s="119" t="b">
        <v>1</v>
      </c>
      <c r="V18" s="119" t="b">
        <v>1</v>
      </c>
      <c r="W18" s="119" t="b">
        <v>1</v>
      </c>
      <c r="X18" s="119" t="b">
        <v>1</v>
      </c>
      <c r="Y18" s="119" t="b">
        <v>1</v>
      </c>
      <c r="Z18" s="119" t="b">
        <v>1</v>
      </c>
      <c r="AA18" s="119" t="b">
        <v>1</v>
      </c>
      <c r="AB18" s="119" t="b">
        <v>1</v>
      </c>
      <c r="AC18" s="119" t="b">
        <v>1</v>
      </c>
      <c r="AD18" s="119" t="b">
        <v>1</v>
      </c>
      <c r="AE18" s="119" t="b">
        <v>1</v>
      </c>
      <c r="AF18" s="119" t="b">
        <v>1</v>
      </c>
      <c r="AG18" s="119" t="b">
        <v>1</v>
      </c>
      <c r="AH18" s="119" t="b">
        <v>1</v>
      </c>
      <c r="AI18" s="119" t="b">
        <v>1</v>
      </c>
      <c r="AJ18" s="119" t="b">
        <v>1</v>
      </c>
      <c r="AK18" s="119" t="b">
        <v>1</v>
      </c>
      <c r="AL18" s="119" t="b">
        <v>1</v>
      </c>
      <c r="AM18" s="119" t="b">
        <v>1</v>
      </c>
      <c r="AN18" s="119" t="b">
        <v>1</v>
      </c>
      <c r="AO18" s="119" t="b">
        <v>1</v>
      </c>
      <c r="AP18" s="119" t="b">
        <v>1</v>
      </c>
      <c r="AQ18" s="119" t="b">
        <v>1</v>
      </c>
      <c r="AR18" s="119" t="b">
        <v>1</v>
      </c>
      <c r="AS18" s="119" t="b">
        <v>1</v>
      </c>
      <c r="AT18" s="119" t="b">
        <v>1</v>
      </c>
      <c r="AU18" s="119" t="b">
        <v>1</v>
      </c>
      <c r="AV18" s="119" t="b">
        <v>1</v>
      </c>
      <c r="AW18" s="119" t="b">
        <v>1</v>
      </c>
      <c r="AX18" s="119" t="b">
        <v>1</v>
      </c>
      <c r="AY18" s="119" t="b">
        <v>1</v>
      </c>
      <c r="AZ18" s="119" t="b">
        <v>1</v>
      </c>
      <c r="BA18" s="119" t="b">
        <v>1</v>
      </c>
      <c r="BB18" s="119" t="b">
        <v>1</v>
      </c>
      <c r="BC18" s="119" t="b">
        <v>1</v>
      </c>
      <c r="BD18" s="119" t="b">
        <v>1</v>
      </c>
      <c r="BE18" s="119" t="b">
        <v>1</v>
      </c>
    </row>
    <row r="19">
      <c r="A19" s="113" t="s">
        <v>1183</v>
      </c>
      <c r="B19" s="113">
        <v>9.650583244E9</v>
      </c>
      <c r="C19" s="113" t="s">
        <v>1184</v>
      </c>
      <c r="D19" s="117" t="s">
        <v>571</v>
      </c>
      <c r="F19" s="113" t="b">
        <v>1</v>
      </c>
      <c r="G19" s="113" t="b">
        <v>0</v>
      </c>
      <c r="H19" s="113" t="b">
        <v>0</v>
      </c>
      <c r="I19" s="113" t="b">
        <v>0</v>
      </c>
      <c r="J19" s="113" t="b">
        <v>1</v>
      </c>
      <c r="K19" s="113" t="b">
        <v>1</v>
      </c>
      <c r="L19" s="113" t="b">
        <v>0</v>
      </c>
      <c r="M19" s="113" t="b">
        <v>0</v>
      </c>
      <c r="N19" s="113" t="b">
        <v>0</v>
      </c>
      <c r="O19" s="113" t="b">
        <v>0</v>
      </c>
      <c r="P19" s="113" t="b">
        <v>0</v>
      </c>
      <c r="Q19" s="113" t="b">
        <v>0</v>
      </c>
      <c r="R19" s="113" t="b">
        <v>0</v>
      </c>
      <c r="S19" s="113" t="b">
        <v>0</v>
      </c>
      <c r="T19" s="113" t="b">
        <v>0</v>
      </c>
      <c r="U19" s="113" t="b">
        <v>0</v>
      </c>
      <c r="V19" s="113" t="b">
        <v>0</v>
      </c>
      <c r="W19" s="113" t="b">
        <v>1</v>
      </c>
      <c r="X19" s="113" t="b">
        <v>1</v>
      </c>
      <c r="Y19" s="113" t="b">
        <v>1</v>
      </c>
      <c r="Z19" s="113" t="b">
        <v>1</v>
      </c>
      <c r="AA19" s="113" t="b">
        <v>1</v>
      </c>
      <c r="AB19" s="113" t="b">
        <v>0</v>
      </c>
      <c r="AC19" s="113" t="b">
        <v>0</v>
      </c>
      <c r="AD19" s="113" t="b">
        <v>0</v>
      </c>
      <c r="AE19" s="113" t="b">
        <v>0</v>
      </c>
      <c r="AF19" s="113" t="b">
        <v>0</v>
      </c>
      <c r="AG19" s="113" t="b">
        <v>0</v>
      </c>
      <c r="AH19" s="113" t="b">
        <v>0</v>
      </c>
      <c r="AI19" s="113" t="b">
        <v>1</v>
      </c>
      <c r="AJ19" s="113" t="b">
        <v>1</v>
      </c>
      <c r="AK19" s="113" t="b">
        <v>1</v>
      </c>
      <c r="AL19" s="113" t="b">
        <v>1</v>
      </c>
      <c r="AM19" s="113" t="b">
        <v>1</v>
      </c>
      <c r="AN19" s="113" t="b">
        <v>1</v>
      </c>
      <c r="AO19" s="113" t="b">
        <v>1</v>
      </c>
      <c r="AP19" s="113" t="b">
        <v>1</v>
      </c>
      <c r="AQ19" s="113" t="b">
        <v>1</v>
      </c>
      <c r="AR19" s="113" t="b">
        <v>1</v>
      </c>
      <c r="AS19" s="113" t="b">
        <v>1</v>
      </c>
      <c r="AT19" s="113" t="b">
        <v>1</v>
      </c>
      <c r="AU19" s="113" t="b">
        <v>1</v>
      </c>
      <c r="AV19" s="113" t="b">
        <v>1</v>
      </c>
      <c r="AW19" s="113" t="b">
        <v>1</v>
      </c>
      <c r="AX19" s="113" t="b">
        <v>1</v>
      </c>
      <c r="AY19" s="113" t="b">
        <v>1</v>
      </c>
      <c r="AZ19" s="113" t="b">
        <v>1</v>
      </c>
      <c r="BA19" s="113" t="b">
        <v>1</v>
      </c>
      <c r="BB19" s="113" t="b">
        <v>1</v>
      </c>
      <c r="BC19" s="113" t="b">
        <v>1</v>
      </c>
      <c r="BD19" s="113" t="b">
        <v>1</v>
      </c>
      <c r="BE19" s="113" t="b">
        <v>1</v>
      </c>
    </row>
    <row r="20">
      <c r="A20" s="119" t="s">
        <v>1185</v>
      </c>
      <c r="B20" s="119">
        <v>8.700672139E9</v>
      </c>
      <c r="C20" s="119" t="s">
        <v>1186</v>
      </c>
      <c r="D20" s="130" t="s">
        <v>571</v>
      </c>
      <c r="F20" s="119" t="b">
        <v>0</v>
      </c>
      <c r="G20" s="119" t="b">
        <v>0</v>
      </c>
      <c r="H20" s="119" t="b">
        <v>0</v>
      </c>
      <c r="I20" s="119" t="b">
        <v>0</v>
      </c>
      <c r="J20" s="119" t="b">
        <v>0</v>
      </c>
      <c r="K20" s="119" t="b">
        <v>0</v>
      </c>
      <c r="L20" s="119" t="b">
        <v>0</v>
      </c>
      <c r="M20" s="119" t="b">
        <v>0</v>
      </c>
      <c r="N20" s="119" t="b">
        <v>0</v>
      </c>
      <c r="O20" s="119" t="b">
        <v>0</v>
      </c>
      <c r="P20" s="119" t="b">
        <v>0</v>
      </c>
      <c r="Q20" s="119" t="b">
        <v>0</v>
      </c>
      <c r="R20" s="119" t="b">
        <v>0</v>
      </c>
      <c r="S20" s="119" t="b">
        <v>0</v>
      </c>
      <c r="T20" s="119" t="b">
        <v>0</v>
      </c>
      <c r="U20" s="119" t="b">
        <v>0</v>
      </c>
      <c r="V20" s="119" t="b">
        <v>0</v>
      </c>
      <c r="W20" s="119" t="b">
        <v>0</v>
      </c>
      <c r="X20" s="119" t="b">
        <v>0</v>
      </c>
      <c r="Y20" s="119" t="b">
        <v>0</v>
      </c>
      <c r="Z20" s="119" t="b">
        <v>0</v>
      </c>
      <c r="AA20" s="119" t="b">
        <v>0</v>
      </c>
      <c r="AB20" s="119" t="b">
        <v>0</v>
      </c>
      <c r="AC20" s="119" t="b">
        <v>0</v>
      </c>
      <c r="AD20" s="119" t="b">
        <v>0</v>
      </c>
      <c r="AE20" s="119" t="b">
        <v>0</v>
      </c>
      <c r="AF20" s="119" t="b">
        <v>0</v>
      </c>
      <c r="AG20" s="119" t="b">
        <v>0</v>
      </c>
      <c r="AH20" s="119" t="b">
        <v>0</v>
      </c>
      <c r="AI20" s="119" t="b">
        <v>0</v>
      </c>
      <c r="AJ20" s="119" t="b">
        <v>0</v>
      </c>
      <c r="AK20" s="119" t="b">
        <v>0</v>
      </c>
      <c r="AL20" s="119" t="b">
        <v>0</v>
      </c>
      <c r="AM20" s="119" t="b">
        <v>0</v>
      </c>
      <c r="AN20" s="119" t="b">
        <v>0</v>
      </c>
      <c r="AO20" s="119" t="b">
        <v>0</v>
      </c>
      <c r="AP20" s="119" t="b">
        <v>0</v>
      </c>
      <c r="AQ20" s="119" t="b">
        <v>0</v>
      </c>
      <c r="AR20" s="119" t="b">
        <v>0</v>
      </c>
      <c r="AS20" s="119" t="b">
        <v>0</v>
      </c>
      <c r="AT20" s="119" t="b">
        <v>0</v>
      </c>
      <c r="AU20" s="119" t="b">
        <v>0</v>
      </c>
      <c r="AV20" s="119" t="b">
        <v>0</v>
      </c>
      <c r="AW20" s="119" t="b">
        <v>0</v>
      </c>
      <c r="AX20" s="119" t="b">
        <v>0</v>
      </c>
      <c r="AY20" s="119" t="b">
        <v>0</v>
      </c>
      <c r="AZ20" s="119" t="b">
        <v>0</v>
      </c>
      <c r="BA20" s="119" t="b">
        <v>0</v>
      </c>
      <c r="BB20" s="119" t="b">
        <v>0</v>
      </c>
      <c r="BC20" s="119" t="b">
        <v>0</v>
      </c>
      <c r="BD20" s="119" t="b">
        <v>0</v>
      </c>
      <c r="BE20" s="119" t="b">
        <v>1</v>
      </c>
    </row>
    <row r="21">
      <c r="A21" s="119" t="s">
        <v>1187</v>
      </c>
      <c r="B21" s="119">
        <v>7.81981348E9</v>
      </c>
      <c r="C21" s="119" t="s">
        <v>1188</v>
      </c>
      <c r="D21" s="130" t="s">
        <v>571</v>
      </c>
      <c r="F21" s="119" t="b">
        <v>1</v>
      </c>
      <c r="G21" s="119" t="b">
        <v>0</v>
      </c>
      <c r="H21" s="119" t="b">
        <v>1</v>
      </c>
      <c r="I21" s="119" t="b">
        <v>1</v>
      </c>
      <c r="J21" s="119" t="b">
        <v>1</v>
      </c>
      <c r="K21" s="119" t="b">
        <v>1</v>
      </c>
      <c r="L21" s="119" t="b">
        <v>1</v>
      </c>
      <c r="M21" s="119" t="b">
        <v>1</v>
      </c>
      <c r="N21" s="119" t="b">
        <v>1</v>
      </c>
      <c r="O21" s="119" t="b">
        <v>0</v>
      </c>
      <c r="P21" s="119" t="b">
        <v>0</v>
      </c>
      <c r="Q21" s="119" t="b">
        <v>0</v>
      </c>
      <c r="R21" s="119" t="b">
        <v>1</v>
      </c>
      <c r="S21" s="119" t="b">
        <v>1</v>
      </c>
      <c r="T21" s="119" t="b">
        <v>0</v>
      </c>
      <c r="U21" s="119" t="b">
        <v>1</v>
      </c>
      <c r="V21" s="119" t="b">
        <v>0</v>
      </c>
      <c r="W21" s="119" t="b">
        <v>0</v>
      </c>
      <c r="X21" s="119" t="b">
        <v>1</v>
      </c>
      <c r="Y21" s="119" t="b">
        <v>1</v>
      </c>
      <c r="Z21" s="119" t="b">
        <v>1</v>
      </c>
      <c r="AA21" s="119" t="b">
        <v>1</v>
      </c>
      <c r="AB21" s="119" t="b">
        <v>1</v>
      </c>
      <c r="AC21" s="119" t="b">
        <v>1</v>
      </c>
      <c r="AD21" s="119" t="b">
        <v>0</v>
      </c>
      <c r="AE21" s="119" t="b">
        <v>1</v>
      </c>
      <c r="AF21" s="119" t="b">
        <v>1</v>
      </c>
      <c r="AG21" s="119" t="b">
        <v>0</v>
      </c>
      <c r="AH21" s="119" t="b">
        <v>1</v>
      </c>
      <c r="AI21" s="119" t="b">
        <v>1</v>
      </c>
      <c r="AJ21" s="119" t="b">
        <v>0</v>
      </c>
      <c r="AK21" s="119" t="b">
        <v>1</v>
      </c>
      <c r="AL21" s="119" t="b">
        <v>1</v>
      </c>
      <c r="AM21" s="119" t="b">
        <v>1</v>
      </c>
      <c r="AN21" s="119" t="b">
        <v>1</v>
      </c>
      <c r="AO21" s="119" t="b">
        <v>1</v>
      </c>
      <c r="AP21" s="119" t="b">
        <v>1</v>
      </c>
      <c r="AQ21" s="119" t="b">
        <v>1</v>
      </c>
      <c r="AR21" s="119" t="b">
        <v>1</v>
      </c>
      <c r="AS21" s="119" t="b">
        <v>1</v>
      </c>
      <c r="AT21" s="119" t="b">
        <v>1</v>
      </c>
      <c r="AU21" s="119" t="b">
        <v>1</v>
      </c>
      <c r="AV21" s="119" t="b">
        <v>1</v>
      </c>
      <c r="AW21" s="119" t="b">
        <v>1</v>
      </c>
      <c r="AX21" s="119" t="b">
        <v>1</v>
      </c>
      <c r="AY21" s="119" t="b">
        <v>1</v>
      </c>
      <c r="AZ21" s="119" t="b">
        <v>1</v>
      </c>
      <c r="BA21" s="119" t="b">
        <v>1</v>
      </c>
      <c r="BB21" s="119" t="b">
        <v>1</v>
      </c>
      <c r="BC21" s="119" t="b">
        <v>1</v>
      </c>
      <c r="BD21" s="119" t="b">
        <v>1</v>
      </c>
      <c r="BE21" s="119" t="b">
        <v>1</v>
      </c>
    </row>
    <row r="22">
      <c r="A22" s="119" t="s">
        <v>1189</v>
      </c>
      <c r="B22" s="119">
        <v>9.316605125E9</v>
      </c>
      <c r="C22" s="119" t="s">
        <v>1190</v>
      </c>
      <c r="D22" s="130" t="s">
        <v>571</v>
      </c>
      <c r="F22" s="119" t="b">
        <v>0</v>
      </c>
      <c r="G22" s="119" t="b">
        <v>1</v>
      </c>
      <c r="H22" s="119" t="b">
        <v>1</v>
      </c>
      <c r="I22" s="119" t="b">
        <v>1</v>
      </c>
      <c r="J22" s="119" t="b">
        <v>1</v>
      </c>
      <c r="K22" s="119" t="b">
        <v>0</v>
      </c>
      <c r="L22" s="119" t="b">
        <v>0</v>
      </c>
      <c r="M22" s="119" t="b">
        <v>0</v>
      </c>
      <c r="N22" s="119" t="b">
        <v>0</v>
      </c>
      <c r="O22" s="119" t="b">
        <v>0</v>
      </c>
      <c r="P22" s="119" t="b">
        <v>0</v>
      </c>
      <c r="Q22" s="119" t="b">
        <v>0</v>
      </c>
      <c r="R22" s="119" t="b">
        <v>0</v>
      </c>
      <c r="S22" s="119" t="b">
        <v>0</v>
      </c>
      <c r="T22" s="119" t="b">
        <v>0</v>
      </c>
      <c r="U22" s="119" t="b">
        <v>0</v>
      </c>
      <c r="V22" s="119" t="b">
        <v>0</v>
      </c>
      <c r="W22" s="119" t="b">
        <v>0</v>
      </c>
      <c r="X22" s="119" t="b">
        <v>0</v>
      </c>
      <c r="Y22" s="119" t="b">
        <v>0</v>
      </c>
      <c r="Z22" s="119" t="b">
        <v>0</v>
      </c>
      <c r="AA22" s="119" t="b">
        <v>0</v>
      </c>
      <c r="AB22" s="119" t="b">
        <v>0</v>
      </c>
      <c r="AC22" s="119" t="b">
        <v>0</v>
      </c>
      <c r="AD22" s="119" t="b">
        <v>0</v>
      </c>
      <c r="AE22" s="119" t="b">
        <v>1</v>
      </c>
      <c r="AF22" s="119" t="b">
        <v>0</v>
      </c>
      <c r="AG22" s="119" t="b">
        <v>1</v>
      </c>
      <c r="AH22" s="119" t="b">
        <v>1</v>
      </c>
      <c r="AI22" s="119" t="b">
        <v>0</v>
      </c>
      <c r="AJ22" s="119" t="b">
        <v>0</v>
      </c>
      <c r="AK22" s="119" t="b">
        <v>0</v>
      </c>
      <c r="AL22" s="119" t="b">
        <v>0</v>
      </c>
      <c r="AM22" s="119" t="b">
        <v>1</v>
      </c>
      <c r="AN22" s="119" t="b">
        <v>1</v>
      </c>
      <c r="AO22" s="119" t="b">
        <v>0</v>
      </c>
      <c r="AP22" s="119" t="b">
        <v>1</v>
      </c>
      <c r="AQ22" s="119" t="b">
        <v>1</v>
      </c>
      <c r="AR22" s="119" t="b">
        <v>1</v>
      </c>
      <c r="AS22" s="119" t="b">
        <v>1</v>
      </c>
      <c r="AT22" s="119" t="b">
        <v>1</v>
      </c>
      <c r="AU22" s="119" t="b">
        <v>0</v>
      </c>
      <c r="AV22" s="119" t="b">
        <v>1</v>
      </c>
      <c r="AW22" s="119" t="b">
        <v>1</v>
      </c>
      <c r="AX22" s="119" t="b">
        <v>1</v>
      </c>
      <c r="AY22" s="119" t="b">
        <v>0</v>
      </c>
      <c r="AZ22" s="119" t="b">
        <v>1</v>
      </c>
      <c r="BA22" s="119" t="b">
        <v>1</v>
      </c>
      <c r="BB22" s="119" t="b">
        <v>1</v>
      </c>
      <c r="BC22" s="119" t="b">
        <v>1</v>
      </c>
      <c r="BD22" s="119" t="b">
        <v>1</v>
      </c>
      <c r="BE22" s="119" t="b">
        <v>1</v>
      </c>
    </row>
    <row r="23">
      <c r="A23" s="119" t="s">
        <v>1191</v>
      </c>
      <c r="B23" s="119">
        <v>9.693131558E9</v>
      </c>
      <c r="C23" s="119" t="s">
        <v>1192</v>
      </c>
      <c r="D23" s="130" t="s">
        <v>571</v>
      </c>
      <c r="F23" s="119" t="b">
        <v>1</v>
      </c>
      <c r="G23" s="119" t="b">
        <v>1</v>
      </c>
      <c r="H23" s="119" t="b">
        <v>1</v>
      </c>
      <c r="I23" s="119" t="b">
        <v>0</v>
      </c>
      <c r="J23" s="119" t="b">
        <v>1</v>
      </c>
      <c r="K23" s="119" t="b">
        <v>0</v>
      </c>
      <c r="L23" s="119" t="b">
        <v>1</v>
      </c>
      <c r="M23" s="119" t="b">
        <v>1</v>
      </c>
      <c r="N23" s="119" t="b">
        <v>1</v>
      </c>
      <c r="O23" s="119" t="b">
        <v>1</v>
      </c>
      <c r="P23" s="119" t="b">
        <v>1</v>
      </c>
      <c r="Q23" s="119" t="b">
        <v>1</v>
      </c>
      <c r="R23" s="119" t="b">
        <v>1</v>
      </c>
      <c r="S23" s="119" t="b">
        <v>1</v>
      </c>
      <c r="T23" s="119" t="b">
        <v>1</v>
      </c>
      <c r="U23" s="119" t="b">
        <v>1</v>
      </c>
      <c r="V23" s="119" t="b">
        <v>1</v>
      </c>
      <c r="W23" s="119" t="b">
        <v>1</v>
      </c>
      <c r="X23" s="119" t="b">
        <v>1</v>
      </c>
      <c r="Y23" s="119" t="b">
        <v>0</v>
      </c>
      <c r="Z23" s="119" t="b">
        <v>1</v>
      </c>
      <c r="AA23" s="119" t="b">
        <v>1</v>
      </c>
      <c r="AB23" s="119" t="b">
        <v>1</v>
      </c>
      <c r="AC23" s="119" t="b">
        <v>1</v>
      </c>
      <c r="AD23" s="119" t="b">
        <v>1</v>
      </c>
      <c r="AE23" s="119" t="b">
        <v>1</v>
      </c>
      <c r="AF23" s="119" t="b">
        <v>1</v>
      </c>
      <c r="AG23" s="119" t="b">
        <v>1</v>
      </c>
      <c r="AH23" s="119" t="b">
        <v>1</v>
      </c>
      <c r="AI23" s="119" t="b">
        <v>1</v>
      </c>
      <c r="AJ23" s="119" t="b">
        <v>1</v>
      </c>
      <c r="AK23" s="119" t="b">
        <v>1</v>
      </c>
      <c r="AL23" s="119" t="b">
        <v>1</v>
      </c>
      <c r="AM23" s="119" t="b">
        <v>1</v>
      </c>
      <c r="AN23" s="119" t="b">
        <v>0</v>
      </c>
      <c r="AO23" s="119" t="b">
        <v>1</v>
      </c>
      <c r="AP23" s="119" t="b">
        <v>1</v>
      </c>
      <c r="AQ23" s="119" t="b">
        <v>1</v>
      </c>
      <c r="AR23" s="119" t="b">
        <v>1</v>
      </c>
      <c r="AS23" s="119" t="b">
        <v>1</v>
      </c>
      <c r="AT23" s="119" t="b">
        <v>1</v>
      </c>
      <c r="AU23" s="119" t="b">
        <v>0</v>
      </c>
      <c r="AV23" s="119" t="b">
        <v>1</v>
      </c>
      <c r="AW23" s="119" t="b">
        <v>1</v>
      </c>
      <c r="AX23" s="119" t="b">
        <v>1</v>
      </c>
      <c r="AY23" s="119" t="b">
        <v>1</v>
      </c>
      <c r="AZ23" s="119" t="b">
        <v>1</v>
      </c>
      <c r="BA23" s="119" t="b">
        <v>1</v>
      </c>
      <c r="BB23" s="119" t="b">
        <v>1</v>
      </c>
      <c r="BC23" s="119" t="b">
        <v>1</v>
      </c>
      <c r="BD23" s="119" t="b">
        <v>1</v>
      </c>
      <c r="BE23" s="119" t="b">
        <v>1</v>
      </c>
    </row>
    <row r="24">
      <c r="A24" s="119" t="s">
        <v>1193</v>
      </c>
      <c r="B24" s="119">
        <v>9.716629969E9</v>
      </c>
      <c r="C24" s="119" t="s">
        <v>1194</v>
      </c>
      <c r="D24" s="130" t="s">
        <v>571</v>
      </c>
      <c r="F24" s="119" t="b">
        <v>1</v>
      </c>
      <c r="G24" s="119" t="b">
        <v>1</v>
      </c>
      <c r="H24" s="119" t="b">
        <v>1</v>
      </c>
      <c r="I24" s="119" t="b">
        <v>1</v>
      </c>
      <c r="J24" s="119" t="b">
        <v>0</v>
      </c>
      <c r="K24" s="119" t="b">
        <v>0</v>
      </c>
      <c r="L24" s="119" t="b">
        <v>0</v>
      </c>
      <c r="M24" s="119" t="b">
        <v>0</v>
      </c>
      <c r="N24" s="119" t="b">
        <v>0</v>
      </c>
      <c r="O24" s="119" t="b">
        <v>0</v>
      </c>
      <c r="P24" s="119" t="b">
        <v>0</v>
      </c>
      <c r="Q24" s="119" t="b">
        <v>1</v>
      </c>
      <c r="R24" s="119" t="b">
        <v>1</v>
      </c>
      <c r="S24" s="119" t="b">
        <v>1</v>
      </c>
      <c r="T24" s="119" t="b">
        <v>1</v>
      </c>
      <c r="U24" s="119" t="b">
        <v>1</v>
      </c>
      <c r="V24" s="119" t="b">
        <v>1</v>
      </c>
      <c r="W24" s="119" t="b">
        <v>1</v>
      </c>
      <c r="X24" s="119" t="b">
        <v>0</v>
      </c>
      <c r="Y24" s="119" t="b">
        <v>0</v>
      </c>
      <c r="Z24" s="119" t="b">
        <v>0</v>
      </c>
      <c r="AA24" s="119" t="b">
        <v>1</v>
      </c>
      <c r="AB24" s="119" t="b">
        <v>0</v>
      </c>
      <c r="AC24" s="119" t="b">
        <v>1</v>
      </c>
      <c r="AD24" s="119" t="b">
        <v>0</v>
      </c>
      <c r="AE24" s="119" t="b">
        <v>1</v>
      </c>
      <c r="AF24" s="119" t="b">
        <v>1</v>
      </c>
      <c r="AG24" s="119" t="b">
        <v>1</v>
      </c>
      <c r="AH24" s="119" t="b">
        <v>0</v>
      </c>
      <c r="AI24" s="119" t="b">
        <v>1</v>
      </c>
      <c r="AJ24" s="119" t="b">
        <v>0</v>
      </c>
      <c r="AK24" s="119" t="b">
        <v>1</v>
      </c>
      <c r="AL24" s="119" t="b">
        <v>0</v>
      </c>
      <c r="AM24" s="119" t="b">
        <v>0</v>
      </c>
      <c r="AN24" s="119" t="b">
        <v>0</v>
      </c>
      <c r="AO24" s="119" t="b">
        <v>0</v>
      </c>
      <c r="AP24" s="119" t="b">
        <v>0</v>
      </c>
      <c r="AQ24" s="119" t="b">
        <v>1</v>
      </c>
      <c r="AR24" s="119" t="b">
        <v>1</v>
      </c>
      <c r="AS24" s="119" t="b">
        <v>0</v>
      </c>
      <c r="AT24" s="119" t="b">
        <v>1</v>
      </c>
      <c r="AU24" s="119" t="b">
        <v>1</v>
      </c>
      <c r="AV24" s="119" t="b">
        <v>1</v>
      </c>
      <c r="AW24" s="119" t="b">
        <v>0</v>
      </c>
      <c r="AX24" s="119" t="b">
        <v>1</v>
      </c>
      <c r="AY24" s="119" t="b">
        <v>1</v>
      </c>
      <c r="AZ24" s="119" t="b">
        <v>0</v>
      </c>
      <c r="BA24" s="119" t="b">
        <v>0</v>
      </c>
      <c r="BB24" s="119" t="b">
        <v>1</v>
      </c>
      <c r="BC24" s="119" t="b">
        <v>1</v>
      </c>
      <c r="BD24" s="119" t="b">
        <v>1</v>
      </c>
      <c r="BE24" s="119" t="b">
        <v>1</v>
      </c>
    </row>
    <row r="25">
      <c r="A25" s="119" t="s">
        <v>1195</v>
      </c>
      <c r="B25" s="119">
        <v>6.2039491E9</v>
      </c>
      <c r="C25" s="119" t="s">
        <v>1196</v>
      </c>
      <c r="D25" s="130" t="s">
        <v>571</v>
      </c>
      <c r="F25" s="119" t="b">
        <v>0</v>
      </c>
      <c r="G25" s="119" t="b">
        <v>0</v>
      </c>
      <c r="H25" s="119" t="b">
        <v>0</v>
      </c>
      <c r="I25" s="119" t="b">
        <v>0</v>
      </c>
      <c r="J25" s="119" t="b">
        <v>0</v>
      </c>
      <c r="K25" s="119" t="b">
        <v>0</v>
      </c>
      <c r="L25" s="119" t="b">
        <v>0</v>
      </c>
      <c r="M25" s="119" t="b">
        <v>0</v>
      </c>
      <c r="N25" s="119" t="b">
        <v>0</v>
      </c>
      <c r="O25" s="119" t="b">
        <v>0</v>
      </c>
      <c r="P25" s="119" t="b">
        <v>0</v>
      </c>
      <c r="Q25" s="119" t="b">
        <v>0</v>
      </c>
      <c r="R25" s="119" t="b">
        <v>0</v>
      </c>
      <c r="S25" s="119" t="b">
        <v>1</v>
      </c>
      <c r="T25" s="119" t="b">
        <v>0</v>
      </c>
      <c r="U25" s="119" t="b">
        <v>0</v>
      </c>
      <c r="V25" s="119" t="b">
        <v>1</v>
      </c>
      <c r="W25" s="119" t="b">
        <v>0</v>
      </c>
      <c r="X25" s="119" t="b">
        <v>1</v>
      </c>
      <c r="Y25" s="119" t="b">
        <v>1</v>
      </c>
      <c r="Z25" s="119" t="b">
        <v>1</v>
      </c>
      <c r="AA25" s="119" t="b">
        <v>1</v>
      </c>
      <c r="AB25" s="119" t="b">
        <v>1</v>
      </c>
      <c r="AC25" s="119" t="b">
        <v>1</v>
      </c>
      <c r="AD25" s="119" t="b">
        <v>1</v>
      </c>
      <c r="AE25" s="119" t="b">
        <v>0</v>
      </c>
      <c r="AF25" s="119" t="b">
        <v>1</v>
      </c>
      <c r="AG25" s="119" t="b">
        <v>0</v>
      </c>
      <c r="AH25" s="119" t="b">
        <v>0</v>
      </c>
      <c r="AI25" s="119" t="b">
        <v>1</v>
      </c>
      <c r="AJ25" s="119" t="b">
        <v>1</v>
      </c>
      <c r="AK25" s="119" t="b">
        <v>1</v>
      </c>
      <c r="AL25" s="119" t="b">
        <v>1</v>
      </c>
      <c r="AM25" s="119" t="b">
        <v>1</v>
      </c>
      <c r="AN25" s="119" t="b">
        <v>1</v>
      </c>
      <c r="AO25" s="119" t="b">
        <v>1</v>
      </c>
      <c r="AP25" s="119" t="b">
        <v>1</v>
      </c>
      <c r="AQ25" s="119" t="b">
        <v>1</v>
      </c>
      <c r="AR25" s="119" t="b">
        <v>0</v>
      </c>
      <c r="AS25" s="119" t="b">
        <v>0</v>
      </c>
      <c r="AT25" s="119" t="b">
        <v>0</v>
      </c>
      <c r="AU25" s="119" t="b">
        <v>0</v>
      </c>
      <c r="AV25" s="119" t="b">
        <v>0</v>
      </c>
      <c r="AW25" s="119" t="b">
        <v>0</v>
      </c>
      <c r="AX25" s="119" t="b">
        <v>0</v>
      </c>
      <c r="AY25" s="119" t="b">
        <v>0</v>
      </c>
      <c r="AZ25" s="119" t="b">
        <v>0</v>
      </c>
      <c r="BA25" s="119" t="b">
        <v>0</v>
      </c>
      <c r="BB25" s="119" t="b">
        <v>0</v>
      </c>
      <c r="BC25" s="119" t="b">
        <v>0</v>
      </c>
      <c r="BD25" s="119" t="b">
        <v>0</v>
      </c>
      <c r="BE25" s="119" t="b">
        <v>1</v>
      </c>
    </row>
    <row r="26">
      <c r="A26" s="119" t="s">
        <v>1197</v>
      </c>
      <c r="B26" s="119">
        <v>9.336371739E9</v>
      </c>
      <c r="C26" s="119" t="s">
        <v>1198</v>
      </c>
      <c r="D26" s="130" t="s">
        <v>571</v>
      </c>
      <c r="F26" s="119" t="b">
        <v>0</v>
      </c>
      <c r="G26" s="119" t="b">
        <v>0</v>
      </c>
      <c r="H26" s="119" t="b">
        <v>0</v>
      </c>
      <c r="I26" s="119" t="b">
        <v>0</v>
      </c>
      <c r="J26" s="119" t="b">
        <v>0</v>
      </c>
      <c r="K26" s="119" t="b">
        <v>0</v>
      </c>
      <c r="L26" s="119" t="b">
        <v>0</v>
      </c>
      <c r="M26" s="119" t="b">
        <v>0</v>
      </c>
      <c r="N26" s="119" t="b">
        <v>0</v>
      </c>
      <c r="O26" s="119" t="b">
        <v>0</v>
      </c>
      <c r="P26" s="119" t="b">
        <v>0</v>
      </c>
      <c r="Q26" s="119" t="b">
        <v>0</v>
      </c>
      <c r="R26" s="119" t="b">
        <v>0</v>
      </c>
      <c r="S26" s="119" t="b">
        <v>0</v>
      </c>
      <c r="T26" s="119" t="b">
        <v>0</v>
      </c>
      <c r="U26" s="119" t="b">
        <v>0</v>
      </c>
      <c r="V26" s="119" t="b">
        <v>0</v>
      </c>
      <c r="W26" s="119" t="b">
        <v>0</v>
      </c>
      <c r="X26" s="119" t="b">
        <v>1</v>
      </c>
      <c r="Y26" s="119" t="b">
        <v>1</v>
      </c>
      <c r="Z26" s="119" t="b">
        <v>1</v>
      </c>
      <c r="AA26" s="119" t="b">
        <v>1</v>
      </c>
      <c r="AB26" s="119" t="b">
        <v>1</v>
      </c>
      <c r="AC26" s="119" t="b">
        <v>0</v>
      </c>
      <c r="AD26" s="119" t="b">
        <v>1</v>
      </c>
      <c r="AE26" s="119" t="b">
        <v>0</v>
      </c>
      <c r="AF26" s="119" t="b">
        <v>1</v>
      </c>
      <c r="AG26" s="119" t="b">
        <v>1</v>
      </c>
      <c r="AH26" s="119" t="b">
        <v>0</v>
      </c>
      <c r="AI26" s="119" t="b">
        <v>0</v>
      </c>
      <c r="AJ26" s="119" t="b">
        <v>1</v>
      </c>
      <c r="AK26" s="119" t="b">
        <v>0</v>
      </c>
      <c r="AL26" s="119" t="b">
        <v>1</v>
      </c>
      <c r="AM26" s="119" t="b">
        <v>1</v>
      </c>
      <c r="AN26" s="119" t="b">
        <v>1</v>
      </c>
      <c r="AO26" s="119" t="b">
        <v>1</v>
      </c>
      <c r="AP26" s="119" t="b">
        <v>1</v>
      </c>
      <c r="AQ26" s="119" t="b">
        <v>1</v>
      </c>
      <c r="AR26" s="119" t="b">
        <v>0</v>
      </c>
      <c r="AS26" s="119" t="b">
        <v>1</v>
      </c>
      <c r="AT26" s="119" t="b">
        <v>1</v>
      </c>
      <c r="AU26" s="119" t="b">
        <v>1</v>
      </c>
      <c r="AV26" s="119" t="b">
        <v>1</v>
      </c>
      <c r="AW26" s="119" t="b">
        <v>1</v>
      </c>
      <c r="AX26" s="119" t="b">
        <v>1</v>
      </c>
      <c r="AY26" s="119" t="b">
        <v>1</v>
      </c>
      <c r="AZ26" s="119" t="b">
        <v>1</v>
      </c>
      <c r="BA26" s="119" t="b">
        <v>1</v>
      </c>
      <c r="BB26" s="119" t="b">
        <v>1</v>
      </c>
      <c r="BC26" s="119" t="b">
        <v>1</v>
      </c>
      <c r="BD26" s="119" t="b">
        <v>1</v>
      </c>
      <c r="BE26" s="119" t="b">
        <v>1</v>
      </c>
    </row>
    <row r="27">
      <c r="A27" s="119" t="s">
        <v>1199</v>
      </c>
      <c r="B27" s="119">
        <v>7.678548139E9</v>
      </c>
      <c r="C27" s="119" t="s">
        <v>1200</v>
      </c>
      <c r="D27" s="130" t="s">
        <v>571</v>
      </c>
      <c r="F27" s="119" t="b">
        <v>1</v>
      </c>
      <c r="G27" s="119" t="b">
        <v>1</v>
      </c>
      <c r="H27" s="119" t="b">
        <v>0</v>
      </c>
      <c r="I27" s="119" t="b">
        <v>1</v>
      </c>
      <c r="J27" s="119" t="b">
        <v>1</v>
      </c>
      <c r="K27" s="119" t="b">
        <v>0</v>
      </c>
      <c r="L27" s="119" t="b">
        <v>1</v>
      </c>
      <c r="M27" s="119" t="b">
        <v>1</v>
      </c>
      <c r="N27" s="119" t="b">
        <v>1</v>
      </c>
      <c r="O27" s="119" t="b">
        <v>1</v>
      </c>
      <c r="P27" s="119" t="b">
        <v>1</v>
      </c>
      <c r="Q27" s="119" t="b">
        <v>1</v>
      </c>
      <c r="R27" s="119" t="b">
        <v>1</v>
      </c>
      <c r="S27" s="119" t="b">
        <v>1</v>
      </c>
      <c r="T27" s="119" t="b">
        <v>1</v>
      </c>
      <c r="U27" s="119" t="b">
        <v>1</v>
      </c>
      <c r="V27" s="119" t="b">
        <v>1</v>
      </c>
      <c r="W27" s="119" t="b">
        <v>0</v>
      </c>
      <c r="X27" s="119" t="b">
        <v>0</v>
      </c>
      <c r="Y27" s="119" t="b">
        <v>0</v>
      </c>
      <c r="Z27" s="119" t="b">
        <v>0</v>
      </c>
      <c r="AA27" s="119" t="b">
        <v>0</v>
      </c>
      <c r="AB27" s="119" t="b">
        <v>1</v>
      </c>
      <c r="AC27" s="119" t="b">
        <v>1</v>
      </c>
      <c r="AD27" s="119" t="b">
        <v>1</v>
      </c>
      <c r="AE27" s="119" t="b">
        <v>0</v>
      </c>
      <c r="AF27" s="119" t="b">
        <v>1</v>
      </c>
      <c r="AG27" s="119" t="b">
        <v>1</v>
      </c>
      <c r="AH27" s="119" t="b">
        <v>1</v>
      </c>
      <c r="AI27" s="119" t="b">
        <v>1</v>
      </c>
      <c r="AJ27" s="119" t="b">
        <v>1</v>
      </c>
      <c r="AK27" s="119" t="b">
        <v>1</v>
      </c>
      <c r="AL27" s="119" t="b">
        <v>0</v>
      </c>
      <c r="AM27" s="119" t="b">
        <v>1</v>
      </c>
      <c r="AN27" s="119" t="b">
        <v>1</v>
      </c>
      <c r="AO27" s="119" t="b">
        <v>1</v>
      </c>
      <c r="AP27" s="119" t="b">
        <v>0</v>
      </c>
      <c r="AQ27" s="119" t="b">
        <v>0</v>
      </c>
      <c r="AR27" s="119" t="b">
        <v>0</v>
      </c>
      <c r="AS27" s="119" t="b">
        <v>1</v>
      </c>
      <c r="AT27" s="119" t="b">
        <v>1</v>
      </c>
      <c r="AU27" s="119" t="b">
        <v>1</v>
      </c>
      <c r="AV27" s="119" t="b">
        <v>1</v>
      </c>
      <c r="AW27" s="119" t="b">
        <v>1</v>
      </c>
      <c r="AX27" s="119" t="b">
        <v>1</v>
      </c>
      <c r="AY27" s="119" t="b">
        <v>1</v>
      </c>
      <c r="AZ27" s="119" t="b">
        <v>1</v>
      </c>
      <c r="BA27" s="119" t="b">
        <v>1</v>
      </c>
      <c r="BB27" s="119" t="b">
        <v>1</v>
      </c>
      <c r="BC27" s="119" t="b">
        <v>1</v>
      </c>
      <c r="BD27" s="119" t="b">
        <v>0</v>
      </c>
      <c r="BE27" s="119" t="b">
        <v>1</v>
      </c>
    </row>
    <row r="28">
      <c r="A28" s="119" t="s">
        <v>1201</v>
      </c>
      <c r="B28" s="119">
        <v>9.650440724E9</v>
      </c>
      <c r="C28" s="119" t="s">
        <v>1202</v>
      </c>
      <c r="D28" s="130" t="s">
        <v>571</v>
      </c>
      <c r="F28" s="119" t="b">
        <v>0</v>
      </c>
      <c r="G28" s="119" t="b">
        <v>1</v>
      </c>
      <c r="H28" s="119" t="b">
        <v>0</v>
      </c>
      <c r="I28" s="119" t="b">
        <v>0</v>
      </c>
      <c r="J28" s="119" t="b">
        <v>0</v>
      </c>
      <c r="K28" s="119" t="b">
        <v>0</v>
      </c>
      <c r="L28" s="119" t="b">
        <v>0</v>
      </c>
      <c r="M28" s="119" t="b">
        <v>0</v>
      </c>
      <c r="N28" s="119" t="b">
        <v>0</v>
      </c>
      <c r="O28" s="119" t="b">
        <v>1</v>
      </c>
      <c r="P28" s="119" t="b">
        <v>1</v>
      </c>
      <c r="Q28" s="119" t="b">
        <v>0</v>
      </c>
      <c r="R28" s="119" t="b">
        <v>1</v>
      </c>
      <c r="S28" s="119" t="b">
        <v>1</v>
      </c>
      <c r="T28" s="119" t="b">
        <v>0</v>
      </c>
      <c r="U28" s="119" t="b">
        <v>0</v>
      </c>
      <c r="V28" s="119" t="b">
        <v>1</v>
      </c>
      <c r="W28" s="119" t="b">
        <v>0</v>
      </c>
      <c r="X28" s="119" t="b">
        <v>0</v>
      </c>
      <c r="Y28" s="119" t="b">
        <v>0</v>
      </c>
      <c r="Z28" s="119" t="b">
        <v>0</v>
      </c>
      <c r="AA28" s="119" t="b">
        <v>0</v>
      </c>
      <c r="AB28" s="119" t="b">
        <v>0</v>
      </c>
      <c r="AC28" s="119" t="b">
        <v>0</v>
      </c>
      <c r="AD28" s="119" t="b">
        <v>0</v>
      </c>
      <c r="AE28" s="119" t="b">
        <v>0</v>
      </c>
      <c r="AF28" s="119" t="b">
        <v>0</v>
      </c>
      <c r="AG28" s="119" t="b">
        <v>0</v>
      </c>
      <c r="AH28" s="119" t="b">
        <v>0</v>
      </c>
      <c r="AI28" s="119" t="b">
        <v>0</v>
      </c>
      <c r="AJ28" s="119" t="b">
        <v>0</v>
      </c>
      <c r="AK28" s="119" t="b">
        <v>0</v>
      </c>
      <c r="AL28" s="119" t="b">
        <v>0</v>
      </c>
      <c r="AM28" s="119" t="b">
        <v>0</v>
      </c>
      <c r="AN28" s="119" t="b">
        <v>0</v>
      </c>
      <c r="AO28" s="119" t="b">
        <v>0</v>
      </c>
      <c r="AP28" s="119" t="b">
        <v>0</v>
      </c>
      <c r="AQ28" s="119" t="b">
        <v>1</v>
      </c>
      <c r="AR28" s="119" t="b">
        <v>1</v>
      </c>
      <c r="AS28" s="119" t="b">
        <v>0</v>
      </c>
      <c r="AT28" s="119" t="b">
        <v>1</v>
      </c>
      <c r="AU28" s="119" t="b">
        <v>1</v>
      </c>
      <c r="AV28" s="119" t="b">
        <v>1</v>
      </c>
      <c r="AW28" s="119" t="b">
        <v>1</v>
      </c>
      <c r="AX28" s="119" t="b">
        <v>0</v>
      </c>
      <c r="AY28" s="119" t="b">
        <v>1</v>
      </c>
      <c r="AZ28" s="119" t="b">
        <v>1</v>
      </c>
      <c r="BA28" s="119" t="b">
        <v>1</v>
      </c>
      <c r="BB28" s="119" t="b">
        <v>1</v>
      </c>
      <c r="BC28" s="119" t="b">
        <v>1</v>
      </c>
      <c r="BD28" s="119" t="b">
        <v>0</v>
      </c>
      <c r="BE28" s="119" t="b">
        <v>1</v>
      </c>
    </row>
    <row r="29">
      <c r="A29" s="119" t="s">
        <v>1203</v>
      </c>
      <c r="B29" s="119">
        <v>7.500098904E9</v>
      </c>
      <c r="C29" s="119" t="s">
        <v>1204</v>
      </c>
      <c r="D29" s="130" t="s">
        <v>571</v>
      </c>
      <c r="F29" s="119" t="b">
        <v>0</v>
      </c>
      <c r="G29" s="119" t="b">
        <v>0</v>
      </c>
      <c r="H29" s="119" t="b">
        <v>0</v>
      </c>
      <c r="I29" s="119" t="b">
        <v>0</v>
      </c>
      <c r="J29" s="119" t="b">
        <v>0</v>
      </c>
      <c r="K29" s="119" t="b">
        <v>0</v>
      </c>
      <c r="L29" s="119" t="b">
        <v>0</v>
      </c>
      <c r="M29" s="119" t="b">
        <v>0</v>
      </c>
      <c r="N29" s="119" t="b">
        <v>0</v>
      </c>
      <c r="O29" s="119" t="b">
        <v>0</v>
      </c>
      <c r="P29" s="119" t="b">
        <v>0</v>
      </c>
      <c r="Q29" s="119" t="b">
        <v>0</v>
      </c>
      <c r="R29" s="119" t="b">
        <v>0</v>
      </c>
      <c r="S29" s="119" t="b">
        <v>0</v>
      </c>
      <c r="T29" s="119" t="b">
        <v>0</v>
      </c>
      <c r="U29" s="119" t="b">
        <v>0</v>
      </c>
      <c r="V29" s="119" t="b">
        <v>0</v>
      </c>
      <c r="W29" s="119" t="b">
        <v>0</v>
      </c>
      <c r="X29" s="119" t="b">
        <v>0</v>
      </c>
      <c r="Y29" s="119" t="b">
        <v>0</v>
      </c>
      <c r="Z29" s="119" t="b">
        <v>1</v>
      </c>
      <c r="AA29" s="119" t="b">
        <v>0</v>
      </c>
      <c r="AB29" s="119" t="b">
        <v>0</v>
      </c>
      <c r="AC29" s="119" t="b">
        <v>0</v>
      </c>
      <c r="AD29" s="119" t="b">
        <v>0</v>
      </c>
      <c r="AE29" s="119" t="b">
        <v>0</v>
      </c>
      <c r="AF29" s="119" t="b">
        <v>0</v>
      </c>
      <c r="AG29" s="119" t="b">
        <v>0</v>
      </c>
      <c r="AH29" s="119" t="b">
        <v>0</v>
      </c>
      <c r="AI29" s="119" t="b">
        <v>0</v>
      </c>
      <c r="AJ29" s="119" t="b">
        <v>0</v>
      </c>
      <c r="AK29" s="119" t="b">
        <v>0</v>
      </c>
      <c r="AL29" s="119" t="b">
        <v>0</v>
      </c>
      <c r="AM29" s="119" t="b">
        <v>0</v>
      </c>
      <c r="AN29" s="119" t="b">
        <v>0</v>
      </c>
      <c r="AO29" s="119" t="b">
        <v>0</v>
      </c>
      <c r="AP29" s="119" t="b">
        <v>0</v>
      </c>
      <c r="AQ29" s="119" t="b">
        <v>0</v>
      </c>
      <c r="AR29" s="119" t="b">
        <v>0</v>
      </c>
      <c r="AS29" s="119" t="b">
        <v>0</v>
      </c>
      <c r="AT29" s="119" t="b">
        <v>0</v>
      </c>
      <c r="AU29" s="119" t="b">
        <v>0</v>
      </c>
      <c r="AV29" s="119" t="b">
        <v>0</v>
      </c>
      <c r="AW29" s="119" t="b">
        <v>0</v>
      </c>
      <c r="AX29" s="119" t="b">
        <v>0</v>
      </c>
      <c r="AY29" s="119" t="b">
        <v>1</v>
      </c>
      <c r="AZ29" s="119" t="b">
        <v>1</v>
      </c>
      <c r="BA29" s="119" t="b">
        <v>1</v>
      </c>
      <c r="BB29" s="119" t="b">
        <v>0</v>
      </c>
      <c r="BC29" s="119" t="b">
        <v>0</v>
      </c>
      <c r="BD29" s="119" t="b">
        <v>0</v>
      </c>
      <c r="BE29" s="119" t="b">
        <v>0</v>
      </c>
    </row>
    <row r="30">
      <c r="A30" s="119" t="s">
        <v>1205</v>
      </c>
      <c r="B30" s="119">
        <v>8.810570391E9</v>
      </c>
      <c r="C30" s="119" t="s">
        <v>1206</v>
      </c>
      <c r="D30" s="130" t="s">
        <v>571</v>
      </c>
      <c r="F30" s="119" t="b">
        <v>1</v>
      </c>
      <c r="G30" s="119" t="b">
        <v>1</v>
      </c>
      <c r="H30" s="119" t="b">
        <v>1</v>
      </c>
      <c r="I30" s="119" t="b">
        <v>1</v>
      </c>
      <c r="J30" s="119" t="b">
        <v>1</v>
      </c>
      <c r="K30" s="119" t="b">
        <v>1</v>
      </c>
      <c r="L30" s="119" t="b">
        <v>1</v>
      </c>
      <c r="M30" s="119" t="b">
        <v>1</v>
      </c>
      <c r="N30" s="119" t="b">
        <v>1</v>
      </c>
      <c r="O30" s="119" t="b">
        <v>1</v>
      </c>
      <c r="P30" s="119" t="b">
        <v>1</v>
      </c>
      <c r="Q30" s="119" t="b">
        <v>1</v>
      </c>
      <c r="R30" s="119" t="b">
        <v>1</v>
      </c>
      <c r="S30" s="119" t="b">
        <v>1</v>
      </c>
      <c r="T30" s="119" t="b">
        <v>1</v>
      </c>
      <c r="U30" s="119" t="b">
        <v>0</v>
      </c>
      <c r="V30" s="119" t="b">
        <v>1</v>
      </c>
      <c r="W30" s="119" t="b">
        <v>1</v>
      </c>
      <c r="X30" s="119" t="b">
        <v>1</v>
      </c>
      <c r="Y30" s="119" t="b">
        <v>1</v>
      </c>
      <c r="Z30" s="119" t="b">
        <v>0</v>
      </c>
      <c r="AA30" s="119" t="b">
        <v>1</v>
      </c>
      <c r="AB30" s="119" t="b">
        <v>1</v>
      </c>
      <c r="AC30" s="119" t="b">
        <v>1</v>
      </c>
      <c r="AD30" s="119" t="b">
        <v>1</v>
      </c>
      <c r="AE30" s="119" t="b">
        <v>1</v>
      </c>
      <c r="AF30" s="119" t="b">
        <v>0</v>
      </c>
      <c r="AG30" s="119" t="b">
        <v>1</v>
      </c>
      <c r="AH30" s="119" t="b">
        <v>1</v>
      </c>
      <c r="AI30" s="119" t="b">
        <v>1</v>
      </c>
      <c r="AJ30" s="119" t="b">
        <v>1</v>
      </c>
      <c r="AK30" s="119" t="b">
        <v>1</v>
      </c>
      <c r="AL30" s="119" t="b">
        <v>1</v>
      </c>
      <c r="AM30" s="119" t="b">
        <v>1</v>
      </c>
      <c r="AN30" s="119" t="b">
        <v>1</v>
      </c>
      <c r="AO30" s="119" t="b">
        <v>1</v>
      </c>
      <c r="AP30" s="119" t="b">
        <v>1</v>
      </c>
      <c r="AQ30" s="119" t="b">
        <v>1</v>
      </c>
      <c r="AR30" s="119" t="b">
        <v>1</v>
      </c>
      <c r="AS30" s="119" t="b">
        <v>1</v>
      </c>
      <c r="AT30" s="119" t="b">
        <v>1</v>
      </c>
      <c r="AU30" s="119" t="b">
        <v>0</v>
      </c>
      <c r="AV30" s="119" t="b">
        <v>1</v>
      </c>
      <c r="AW30" s="119" t="b">
        <v>1</v>
      </c>
      <c r="AX30" s="119" t="b">
        <v>0</v>
      </c>
      <c r="AY30" s="119" t="b">
        <v>0</v>
      </c>
      <c r="AZ30" s="119" t="b">
        <v>1</v>
      </c>
      <c r="BA30" s="119" t="b">
        <v>1</v>
      </c>
      <c r="BB30" s="119" t="b">
        <v>0</v>
      </c>
      <c r="BC30" s="119" t="b">
        <v>0</v>
      </c>
      <c r="BD30" s="119" t="b">
        <v>0</v>
      </c>
      <c r="BE30" s="119" t="b">
        <v>0</v>
      </c>
    </row>
    <row r="31">
      <c r="A31" s="119" t="s">
        <v>1207</v>
      </c>
      <c r="B31" s="119">
        <v>7.976401664E9</v>
      </c>
      <c r="C31" s="119" t="s">
        <v>1208</v>
      </c>
      <c r="D31" s="130" t="s">
        <v>571</v>
      </c>
      <c r="F31" s="119" t="b">
        <v>1</v>
      </c>
      <c r="G31" s="119" t="b">
        <v>1</v>
      </c>
      <c r="H31" s="119" t="b">
        <v>1</v>
      </c>
      <c r="I31" s="119" t="b">
        <v>1</v>
      </c>
      <c r="J31" s="119" t="b">
        <v>0</v>
      </c>
      <c r="K31" s="119" t="b">
        <v>0</v>
      </c>
      <c r="L31" s="119" t="b">
        <v>0</v>
      </c>
      <c r="M31" s="119" t="b">
        <v>0</v>
      </c>
      <c r="N31" s="119" t="b">
        <v>1</v>
      </c>
      <c r="O31" s="119" t="b">
        <v>1</v>
      </c>
      <c r="P31" s="119" t="b">
        <v>1</v>
      </c>
      <c r="Q31" s="119" t="b">
        <v>0</v>
      </c>
      <c r="R31" s="119" t="b">
        <v>1</v>
      </c>
      <c r="S31" s="119" t="b">
        <v>1</v>
      </c>
      <c r="T31" s="119" t="b">
        <v>0</v>
      </c>
      <c r="U31" s="119" t="b">
        <v>1</v>
      </c>
      <c r="V31" s="119" t="b">
        <v>1</v>
      </c>
      <c r="W31" s="119" t="b">
        <v>1</v>
      </c>
      <c r="X31" s="119" t="b">
        <v>0</v>
      </c>
      <c r="Y31" s="119" t="b">
        <v>0</v>
      </c>
      <c r="Z31" s="119" t="b">
        <v>1</v>
      </c>
      <c r="AA31" s="119" t="b">
        <v>0</v>
      </c>
      <c r="AB31" s="119" t="b">
        <v>0</v>
      </c>
      <c r="AC31" s="119" t="b">
        <v>1</v>
      </c>
      <c r="AD31" s="119" t="b">
        <v>1</v>
      </c>
      <c r="AE31" s="119" t="b">
        <v>1</v>
      </c>
      <c r="AF31" s="119" t="b">
        <v>1</v>
      </c>
      <c r="AG31" s="119" t="b">
        <v>1</v>
      </c>
      <c r="AH31" s="119" t="b">
        <v>1</v>
      </c>
      <c r="AI31" s="119" t="b">
        <v>1</v>
      </c>
      <c r="AJ31" s="119" t="b">
        <v>1</v>
      </c>
      <c r="AK31" s="119" t="b">
        <v>1</v>
      </c>
      <c r="AL31" s="119" t="b">
        <v>1</v>
      </c>
      <c r="AM31" s="119" t="b">
        <v>1</v>
      </c>
      <c r="AN31" s="119" t="b">
        <v>1</v>
      </c>
      <c r="AO31" s="119" t="b">
        <v>1</v>
      </c>
      <c r="AP31" s="119" t="b">
        <v>1</v>
      </c>
      <c r="AQ31" s="119" t="b">
        <v>1</v>
      </c>
      <c r="AR31" s="119" t="b">
        <v>1</v>
      </c>
      <c r="AS31" s="119" t="b">
        <v>1</v>
      </c>
      <c r="AT31" s="119" t="b">
        <v>1</v>
      </c>
      <c r="AU31" s="119" t="b">
        <v>1</v>
      </c>
      <c r="AV31" s="119" t="b">
        <v>1</v>
      </c>
      <c r="AW31" s="119" t="b">
        <v>0</v>
      </c>
      <c r="AX31" s="119" t="b">
        <v>1</v>
      </c>
      <c r="AY31" s="119" t="b">
        <v>1</v>
      </c>
      <c r="AZ31" s="119" t="b">
        <v>0</v>
      </c>
      <c r="BA31" s="119" t="b">
        <v>0</v>
      </c>
      <c r="BB31" s="119" t="b">
        <v>0</v>
      </c>
      <c r="BC31" s="119" t="b">
        <v>0</v>
      </c>
      <c r="BD31" s="119" t="b">
        <v>0</v>
      </c>
      <c r="BE31" s="119" t="b">
        <v>0</v>
      </c>
    </row>
    <row r="32">
      <c r="A32" s="119" t="s">
        <v>1209</v>
      </c>
      <c r="B32" s="119">
        <v>7.678538027E9</v>
      </c>
      <c r="C32" s="119" t="s">
        <v>1210</v>
      </c>
      <c r="D32" s="130" t="s">
        <v>571</v>
      </c>
      <c r="F32" s="119" t="b">
        <v>0</v>
      </c>
      <c r="G32" s="119" t="b">
        <v>1</v>
      </c>
      <c r="H32" s="119" t="b">
        <v>0</v>
      </c>
      <c r="I32" s="119" t="b">
        <v>0</v>
      </c>
      <c r="J32" s="119" t="b">
        <v>1</v>
      </c>
      <c r="K32" s="119" t="b">
        <v>1</v>
      </c>
      <c r="L32" s="119" t="b">
        <v>1</v>
      </c>
      <c r="M32" s="119" t="b">
        <v>1</v>
      </c>
      <c r="N32" s="119" t="b">
        <v>0</v>
      </c>
      <c r="O32" s="119" t="b">
        <v>0</v>
      </c>
      <c r="P32" s="119" t="b">
        <v>0</v>
      </c>
      <c r="Q32" s="119" t="b">
        <v>0</v>
      </c>
      <c r="R32" s="119" t="b">
        <v>0</v>
      </c>
      <c r="S32" s="119" t="b">
        <v>0</v>
      </c>
      <c r="T32" s="119" t="b">
        <v>0</v>
      </c>
      <c r="U32" s="119" t="b">
        <v>0</v>
      </c>
      <c r="V32" s="119" t="b">
        <v>0</v>
      </c>
      <c r="W32" s="119" t="b">
        <v>1</v>
      </c>
      <c r="X32" s="119" t="b">
        <v>1</v>
      </c>
      <c r="Y32" s="119" t="b">
        <v>0</v>
      </c>
      <c r="Z32" s="119" t="b">
        <v>1</v>
      </c>
      <c r="AA32" s="119" t="b">
        <v>1</v>
      </c>
      <c r="AB32" s="119" t="b">
        <v>0</v>
      </c>
      <c r="AC32" s="119" t="b">
        <v>1</v>
      </c>
      <c r="AD32" s="119" t="b">
        <v>0</v>
      </c>
      <c r="AE32" s="119" t="b">
        <v>0</v>
      </c>
      <c r="AF32" s="119" t="b">
        <v>1</v>
      </c>
      <c r="AG32" s="119" t="b">
        <v>0</v>
      </c>
      <c r="AH32" s="119" t="b">
        <v>0</v>
      </c>
      <c r="AI32" s="119" t="b">
        <v>0</v>
      </c>
      <c r="AJ32" s="119" t="b">
        <v>0</v>
      </c>
      <c r="AK32" s="119" t="b">
        <v>0</v>
      </c>
      <c r="AL32" s="119" t="b">
        <v>0</v>
      </c>
      <c r="AM32" s="119" t="b">
        <v>0</v>
      </c>
      <c r="AN32" s="119" t="b">
        <v>0</v>
      </c>
      <c r="AO32" s="119" t="b">
        <v>1</v>
      </c>
      <c r="AP32" s="119" t="b">
        <v>0</v>
      </c>
      <c r="AQ32" s="119" t="b">
        <v>0</v>
      </c>
      <c r="AR32" s="119" t="b">
        <v>1</v>
      </c>
      <c r="AS32" s="119" t="b">
        <v>1</v>
      </c>
      <c r="AT32" s="119" t="b">
        <v>0</v>
      </c>
      <c r="AU32" s="119" t="b">
        <v>0</v>
      </c>
      <c r="AV32" s="119" t="b">
        <v>1</v>
      </c>
      <c r="AW32" s="119" t="b">
        <v>1</v>
      </c>
      <c r="AX32" s="119" t="b">
        <v>0</v>
      </c>
      <c r="AY32" s="119" t="b">
        <v>0</v>
      </c>
      <c r="AZ32" s="119" t="b">
        <v>0</v>
      </c>
      <c r="BA32" s="119" t="b">
        <v>0</v>
      </c>
      <c r="BB32" s="119" t="b">
        <v>0</v>
      </c>
      <c r="BC32" s="119" t="b">
        <v>0</v>
      </c>
      <c r="BD32" s="119" t="b">
        <v>0</v>
      </c>
      <c r="BE32" s="119" t="b">
        <v>0</v>
      </c>
    </row>
    <row r="33">
      <c r="A33" s="119" t="s">
        <v>1211</v>
      </c>
      <c r="B33" s="119">
        <v>9.205908703E9</v>
      </c>
      <c r="C33" s="119" t="s">
        <v>1212</v>
      </c>
      <c r="D33" s="130" t="s">
        <v>571</v>
      </c>
      <c r="F33" s="119" t="b">
        <v>0</v>
      </c>
      <c r="G33" s="119" t="b">
        <v>0</v>
      </c>
      <c r="H33" s="119" t="b">
        <v>0</v>
      </c>
      <c r="I33" s="119" t="b">
        <v>0</v>
      </c>
      <c r="J33" s="119" t="b">
        <v>0</v>
      </c>
      <c r="K33" s="119" t="b">
        <v>0</v>
      </c>
      <c r="L33" s="119" t="b">
        <v>0</v>
      </c>
      <c r="M33" s="119" t="b">
        <v>0</v>
      </c>
      <c r="N33" s="119" t="b">
        <v>0</v>
      </c>
      <c r="O33" s="119" t="b">
        <v>0</v>
      </c>
      <c r="P33" s="119" t="b">
        <v>0</v>
      </c>
      <c r="Q33" s="119" t="b">
        <v>0</v>
      </c>
      <c r="R33" s="119" t="b">
        <v>1</v>
      </c>
      <c r="S33" s="119" t="b">
        <v>1</v>
      </c>
      <c r="T33" s="119" t="b">
        <v>0</v>
      </c>
      <c r="U33" s="119" t="b">
        <v>1</v>
      </c>
      <c r="V33" s="119" t="b">
        <v>1</v>
      </c>
      <c r="W33" s="119" t="b">
        <v>1</v>
      </c>
      <c r="X33" s="119" t="b">
        <v>0</v>
      </c>
      <c r="Y33" s="119" t="b">
        <v>0</v>
      </c>
      <c r="Z33" s="119" t="b">
        <v>0</v>
      </c>
      <c r="AA33" s="119" t="b">
        <v>0</v>
      </c>
      <c r="AB33" s="119" t="b">
        <v>0</v>
      </c>
      <c r="AC33" s="119" t="b">
        <v>0</v>
      </c>
      <c r="AD33" s="119" t="b">
        <v>1</v>
      </c>
      <c r="AE33" s="119" t="b">
        <v>1</v>
      </c>
      <c r="AF33" s="119" t="b">
        <v>0</v>
      </c>
      <c r="AG33" s="119" t="b">
        <v>0</v>
      </c>
      <c r="AH33" s="119" t="b">
        <v>1</v>
      </c>
      <c r="AI33" s="119" t="b">
        <v>1</v>
      </c>
      <c r="AJ33" s="119" t="b">
        <v>0</v>
      </c>
      <c r="AK33" s="119" t="b">
        <v>0</v>
      </c>
      <c r="AL33" s="119" t="b">
        <v>0</v>
      </c>
      <c r="AM33" s="119" t="b">
        <v>0</v>
      </c>
      <c r="AN33" s="119" t="b">
        <v>1</v>
      </c>
      <c r="AO33" s="119" t="b">
        <v>1</v>
      </c>
      <c r="AP33" s="119" t="b">
        <v>0</v>
      </c>
      <c r="AQ33" s="119" t="b">
        <v>1</v>
      </c>
      <c r="AR33" s="119" t="b">
        <v>0</v>
      </c>
      <c r="AS33" s="119" t="b">
        <v>1</v>
      </c>
      <c r="AT33" s="119" t="b">
        <v>0</v>
      </c>
      <c r="AU33" s="119" t="b">
        <v>0</v>
      </c>
      <c r="AV33" s="119" t="b">
        <v>1</v>
      </c>
      <c r="AW33" s="119" t="b">
        <v>1</v>
      </c>
      <c r="AX33" s="119" t="b">
        <v>0</v>
      </c>
      <c r="AY33" s="119" t="b">
        <v>0</v>
      </c>
      <c r="AZ33" s="119" t="b">
        <v>0</v>
      </c>
      <c r="BA33" s="119" t="b">
        <v>0</v>
      </c>
      <c r="BB33" s="119" t="b">
        <v>0</v>
      </c>
      <c r="BC33" s="119" t="b">
        <v>0</v>
      </c>
      <c r="BD33" s="119" t="b">
        <v>0</v>
      </c>
      <c r="BE33" s="119" t="b">
        <v>0</v>
      </c>
    </row>
    <row r="34">
      <c r="A34" s="132" t="s">
        <v>1213</v>
      </c>
      <c r="B34" s="132">
        <v>7.880537676E9</v>
      </c>
      <c r="C34" s="132" t="s">
        <v>1214</v>
      </c>
      <c r="D34" s="133" t="s">
        <v>571</v>
      </c>
      <c r="E34" s="112"/>
      <c r="F34" s="132" t="b">
        <v>1</v>
      </c>
      <c r="G34" s="132" t="b">
        <v>1</v>
      </c>
      <c r="H34" s="132" t="b">
        <v>0</v>
      </c>
      <c r="I34" s="132" t="b">
        <v>1</v>
      </c>
      <c r="J34" s="132" t="b">
        <v>1</v>
      </c>
      <c r="K34" s="132" t="b">
        <v>1</v>
      </c>
      <c r="L34" s="132" t="b">
        <v>0</v>
      </c>
      <c r="M34" s="132" t="b">
        <v>0</v>
      </c>
      <c r="N34" s="132" t="b">
        <v>0</v>
      </c>
      <c r="O34" s="132" t="b">
        <v>1</v>
      </c>
      <c r="P34" s="132" t="b">
        <v>1</v>
      </c>
      <c r="Q34" s="132" t="b">
        <v>1</v>
      </c>
      <c r="R34" s="132" t="b">
        <v>0</v>
      </c>
      <c r="S34" s="132" t="b">
        <v>0</v>
      </c>
      <c r="T34" s="132" t="b">
        <v>0</v>
      </c>
      <c r="U34" s="132" t="b">
        <v>0</v>
      </c>
      <c r="V34" s="132" t="b">
        <v>0</v>
      </c>
      <c r="W34" s="132" t="b">
        <v>1</v>
      </c>
      <c r="X34" s="132" t="b">
        <v>1</v>
      </c>
      <c r="Y34" s="132" t="b">
        <v>1</v>
      </c>
      <c r="Z34" s="132" t="b">
        <v>1</v>
      </c>
      <c r="AA34" s="132" t="b">
        <v>0</v>
      </c>
      <c r="AB34" s="132" t="b">
        <v>1</v>
      </c>
      <c r="AC34" s="132" t="b">
        <v>1</v>
      </c>
      <c r="AD34" s="132" t="b">
        <v>0</v>
      </c>
      <c r="AE34" s="132" t="b">
        <v>1</v>
      </c>
      <c r="AF34" s="132" t="b">
        <v>1</v>
      </c>
      <c r="AG34" s="132" t="b">
        <v>0</v>
      </c>
      <c r="AH34" s="132" t="b">
        <v>1</v>
      </c>
      <c r="AI34" s="132" t="b">
        <v>1</v>
      </c>
      <c r="AJ34" s="132" t="b">
        <v>1</v>
      </c>
      <c r="AK34" s="132" t="b">
        <v>1</v>
      </c>
      <c r="AL34" s="132" t="b">
        <v>0</v>
      </c>
      <c r="AM34" s="132" t="b">
        <v>0</v>
      </c>
      <c r="AN34" s="132" t="b">
        <v>0</v>
      </c>
      <c r="AO34" s="132" t="b">
        <v>0</v>
      </c>
      <c r="AP34" s="132" t="b">
        <v>0</v>
      </c>
      <c r="AQ34" s="132" t="b">
        <v>0</v>
      </c>
      <c r="AR34" s="132" t="b">
        <v>0</v>
      </c>
      <c r="AS34" s="132" t="b">
        <v>0</v>
      </c>
      <c r="AT34" s="132" t="b">
        <v>0</v>
      </c>
      <c r="AU34" s="132" t="b">
        <v>0</v>
      </c>
      <c r="AV34" s="132" t="b">
        <v>0</v>
      </c>
      <c r="AW34" s="132" t="b">
        <v>0</v>
      </c>
      <c r="AX34" s="132" t="b">
        <v>0</v>
      </c>
      <c r="AY34" s="132" t="b">
        <v>0</v>
      </c>
      <c r="AZ34" s="132" t="b">
        <v>0</v>
      </c>
      <c r="BA34" s="132" t="b">
        <v>0</v>
      </c>
      <c r="BB34" s="132" t="b">
        <v>0</v>
      </c>
      <c r="BC34" s="132" t="b">
        <v>0</v>
      </c>
      <c r="BD34" s="132" t="b">
        <v>0</v>
      </c>
      <c r="BE34" s="132" t="b">
        <v>0</v>
      </c>
    </row>
    <row r="35">
      <c r="A35" s="113" t="s">
        <v>1215</v>
      </c>
      <c r="B35" s="113">
        <v>6.299952667E9</v>
      </c>
      <c r="C35" s="113" t="s">
        <v>1216</v>
      </c>
      <c r="D35" s="117" t="s">
        <v>725</v>
      </c>
      <c r="E35" s="114" t="s">
        <v>1096</v>
      </c>
      <c r="F35" s="113" t="b">
        <v>0</v>
      </c>
      <c r="G35" s="113" t="b">
        <v>0</v>
      </c>
      <c r="H35" s="113" t="b">
        <v>1</v>
      </c>
      <c r="I35" s="113" t="b">
        <v>1</v>
      </c>
      <c r="J35" s="113" t="b">
        <v>1</v>
      </c>
      <c r="K35" s="113" t="b">
        <v>1</v>
      </c>
      <c r="L35" s="113" t="b">
        <v>1</v>
      </c>
      <c r="M35" s="113" t="b">
        <v>1</v>
      </c>
      <c r="N35" s="113" t="b">
        <v>0</v>
      </c>
      <c r="O35" s="113" t="b">
        <v>1</v>
      </c>
      <c r="P35" s="113" t="b">
        <v>1</v>
      </c>
      <c r="Q35" s="113" t="b">
        <v>1</v>
      </c>
      <c r="R35" s="113" t="b">
        <v>1</v>
      </c>
      <c r="S35" s="113" t="b">
        <v>1</v>
      </c>
      <c r="T35" s="113" t="b">
        <v>1</v>
      </c>
      <c r="U35" s="113" t="b">
        <v>1</v>
      </c>
      <c r="V35" s="113" t="b">
        <v>1</v>
      </c>
      <c r="W35" s="113" t="b">
        <v>1</v>
      </c>
      <c r="X35" s="113" t="b">
        <v>0</v>
      </c>
      <c r="Y35" s="113" t="b">
        <v>1</v>
      </c>
      <c r="Z35" s="113" t="b">
        <v>1</v>
      </c>
      <c r="AA35" s="113" t="b">
        <v>1</v>
      </c>
      <c r="AB35" s="113" t="b">
        <v>1</v>
      </c>
      <c r="AC35" s="113" t="b">
        <v>1</v>
      </c>
      <c r="AD35" s="113" t="b">
        <v>1</v>
      </c>
      <c r="AE35" s="113" t="b">
        <v>1</v>
      </c>
      <c r="AF35" s="113" t="b">
        <v>1</v>
      </c>
      <c r="AG35" s="113" t="b">
        <v>1</v>
      </c>
      <c r="AH35" s="113" t="b">
        <v>1</v>
      </c>
      <c r="AI35" s="113" t="b">
        <v>1</v>
      </c>
      <c r="AJ35" s="113" t="b">
        <v>1</v>
      </c>
      <c r="AK35" s="113" t="b">
        <v>1</v>
      </c>
      <c r="AL35" s="113" t="b">
        <v>1</v>
      </c>
      <c r="AM35" s="113" t="b">
        <v>1</v>
      </c>
      <c r="AN35" s="113" t="b">
        <v>0</v>
      </c>
      <c r="AO35" s="113" t="b">
        <v>1</v>
      </c>
      <c r="AP35" s="113" t="b">
        <v>0</v>
      </c>
      <c r="AQ35" s="113" t="b">
        <v>0</v>
      </c>
      <c r="AR35" s="113" t="b">
        <v>0</v>
      </c>
      <c r="AS35" s="113" t="b">
        <v>0</v>
      </c>
      <c r="AT35" s="113" t="b">
        <v>1</v>
      </c>
      <c r="AU35" s="113" t="b">
        <v>1</v>
      </c>
      <c r="AV35" s="113" t="b">
        <v>1</v>
      </c>
      <c r="AW35" s="113" t="b">
        <v>1</v>
      </c>
      <c r="AX35" s="113" t="b">
        <v>1</v>
      </c>
      <c r="AY35" s="113" t="b">
        <v>1</v>
      </c>
      <c r="AZ35" s="113" t="b">
        <v>1</v>
      </c>
      <c r="BA35" s="113" t="b">
        <v>0</v>
      </c>
      <c r="BB35" s="113" t="b">
        <v>1</v>
      </c>
      <c r="BC35" s="113" t="b">
        <v>1</v>
      </c>
      <c r="BD35" s="113" t="b">
        <v>1</v>
      </c>
      <c r="BE35" s="113" t="b">
        <v>1</v>
      </c>
    </row>
    <row r="36">
      <c r="A36" s="113" t="s">
        <v>1217</v>
      </c>
      <c r="B36" s="113">
        <v>6.206290052E9</v>
      </c>
      <c r="C36" s="113" t="s">
        <v>1218</v>
      </c>
      <c r="D36" s="117" t="s">
        <v>725</v>
      </c>
      <c r="F36" s="113" t="b">
        <v>0</v>
      </c>
      <c r="G36" s="113" t="b">
        <v>0</v>
      </c>
      <c r="H36" s="113" t="b">
        <v>0</v>
      </c>
      <c r="I36" s="113" t="b">
        <v>1</v>
      </c>
      <c r="J36" s="113" t="b">
        <v>0</v>
      </c>
      <c r="K36" s="113" t="b">
        <v>0</v>
      </c>
      <c r="L36" s="113" t="b">
        <v>1</v>
      </c>
      <c r="M36" s="113" t="b">
        <v>1</v>
      </c>
      <c r="N36" s="113" t="b">
        <v>0</v>
      </c>
      <c r="O36" s="113" t="b">
        <v>0</v>
      </c>
      <c r="P36" s="113" t="b">
        <v>0</v>
      </c>
      <c r="Q36" s="113" t="b">
        <v>0</v>
      </c>
      <c r="R36" s="113" t="b">
        <v>0</v>
      </c>
      <c r="S36" s="113" t="b">
        <v>0</v>
      </c>
      <c r="T36" s="113" t="b">
        <v>1</v>
      </c>
      <c r="U36" s="113" t="b">
        <v>0</v>
      </c>
      <c r="V36" s="113" t="b">
        <v>0</v>
      </c>
      <c r="W36" s="113" t="b">
        <v>1</v>
      </c>
      <c r="X36" s="113" t="b">
        <v>1</v>
      </c>
      <c r="Y36" s="113" t="b">
        <v>1</v>
      </c>
      <c r="Z36" s="113" t="b">
        <v>1</v>
      </c>
      <c r="AA36" s="113" t="b">
        <v>1</v>
      </c>
      <c r="AB36" s="113" t="b">
        <v>1</v>
      </c>
      <c r="AC36" s="113" t="b">
        <v>1</v>
      </c>
      <c r="AD36" s="113" t="b">
        <v>1</v>
      </c>
      <c r="AE36" s="113" t="b">
        <v>0</v>
      </c>
      <c r="AF36" s="113" t="b">
        <v>0</v>
      </c>
      <c r="AG36" s="113" t="b">
        <v>0</v>
      </c>
      <c r="AH36" s="113" t="b">
        <v>1</v>
      </c>
      <c r="AI36" s="113" t="b">
        <v>1</v>
      </c>
      <c r="AJ36" s="113" t="b">
        <v>1</v>
      </c>
      <c r="AK36" s="113" t="b">
        <v>0</v>
      </c>
      <c r="AL36" s="113" t="b">
        <v>1</v>
      </c>
      <c r="AM36" s="113" t="b">
        <v>1</v>
      </c>
      <c r="AN36" s="113" t="b">
        <v>1</v>
      </c>
      <c r="AO36" s="113" t="b">
        <v>1</v>
      </c>
      <c r="AP36" s="113" t="b">
        <v>0</v>
      </c>
      <c r="AQ36" s="113" t="b">
        <v>1</v>
      </c>
      <c r="AR36" s="113" t="b">
        <v>0</v>
      </c>
      <c r="AS36" s="113" t="b">
        <v>1</v>
      </c>
      <c r="AT36" s="113" t="b">
        <v>0</v>
      </c>
      <c r="AU36" s="113" t="b">
        <v>1</v>
      </c>
      <c r="AV36" s="113" t="b">
        <v>1</v>
      </c>
      <c r="AW36" s="113" t="b">
        <v>0</v>
      </c>
      <c r="AX36" s="113" t="b">
        <v>0</v>
      </c>
      <c r="AY36" s="113" t="b">
        <v>0</v>
      </c>
      <c r="AZ36" s="113" t="b">
        <v>0</v>
      </c>
      <c r="BA36" s="113" t="b">
        <v>0</v>
      </c>
      <c r="BB36" s="113" t="b">
        <v>0</v>
      </c>
      <c r="BC36" s="113" t="b">
        <v>0</v>
      </c>
      <c r="BD36" s="113" t="b">
        <v>1</v>
      </c>
      <c r="BE36" s="113" t="b">
        <v>1</v>
      </c>
    </row>
    <row r="37">
      <c r="A37" s="113" t="s">
        <v>753</v>
      </c>
      <c r="B37" s="113">
        <v>6.299168728E9</v>
      </c>
      <c r="C37" s="113" t="s">
        <v>1219</v>
      </c>
      <c r="D37" s="117" t="s">
        <v>725</v>
      </c>
      <c r="F37" s="113" t="b">
        <v>1</v>
      </c>
      <c r="G37" s="113" t="b">
        <v>1</v>
      </c>
      <c r="H37" s="113" t="b">
        <v>1</v>
      </c>
      <c r="I37" s="113" t="b">
        <v>0</v>
      </c>
      <c r="J37" s="113" t="b">
        <v>0</v>
      </c>
      <c r="K37" s="113" t="b">
        <v>0</v>
      </c>
      <c r="L37" s="113" t="b">
        <v>1</v>
      </c>
      <c r="M37" s="113" t="b">
        <v>1</v>
      </c>
      <c r="N37" s="113" t="b">
        <v>1</v>
      </c>
      <c r="O37" s="113" t="b">
        <v>1</v>
      </c>
      <c r="P37" s="113" t="b">
        <v>1</v>
      </c>
      <c r="Q37" s="113" t="b">
        <v>1</v>
      </c>
      <c r="R37" s="113" t="b">
        <v>1</v>
      </c>
      <c r="S37" s="113" t="b">
        <v>1</v>
      </c>
      <c r="T37" s="113" t="b">
        <v>1</v>
      </c>
      <c r="U37" s="113" t="b">
        <v>1</v>
      </c>
      <c r="V37" s="113" t="b">
        <v>1</v>
      </c>
      <c r="W37" s="113" t="b">
        <v>1</v>
      </c>
      <c r="X37" s="113" t="b">
        <v>1</v>
      </c>
      <c r="Y37" s="113" t="b">
        <v>1</v>
      </c>
      <c r="Z37" s="113" t="b">
        <v>1</v>
      </c>
      <c r="AA37" s="113" t="b">
        <v>1</v>
      </c>
      <c r="AB37" s="113" t="b">
        <v>0</v>
      </c>
      <c r="AC37" s="113" t="b">
        <v>1</v>
      </c>
      <c r="AD37" s="113" t="b">
        <v>1</v>
      </c>
      <c r="AE37" s="113" t="b">
        <v>1</v>
      </c>
      <c r="AF37" s="113" t="b">
        <v>1</v>
      </c>
      <c r="AG37" s="113" t="b">
        <v>0</v>
      </c>
      <c r="AH37" s="113" t="b">
        <v>0</v>
      </c>
      <c r="AI37" s="113" t="b">
        <v>0</v>
      </c>
      <c r="AJ37" s="113" t="b">
        <v>1</v>
      </c>
      <c r="AK37" s="113" t="b">
        <v>0</v>
      </c>
      <c r="AL37" s="113" t="b">
        <v>1</v>
      </c>
      <c r="AM37" s="113" t="b">
        <v>1</v>
      </c>
      <c r="AN37" s="113" t="b">
        <v>0</v>
      </c>
      <c r="AO37" s="113" t="b">
        <v>1</v>
      </c>
      <c r="AP37" s="113" t="b">
        <v>1</v>
      </c>
      <c r="AQ37" s="113" t="b">
        <v>1</v>
      </c>
      <c r="AR37" s="113" t="b">
        <v>1</v>
      </c>
      <c r="AS37" s="113" t="b">
        <v>1</v>
      </c>
      <c r="AT37" s="113" t="b">
        <v>1</v>
      </c>
      <c r="AU37" s="113" t="b">
        <v>0</v>
      </c>
      <c r="AV37" s="113" t="b">
        <v>0</v>
      </c>
      <c r="AW37" s="113" t="b">
        <v>0</v>
      </c>
      <c r="AX37" s="113" t="b">
        <v>0</v>
      </c>
      <c r="AY37" s="113" t="b">
        <v>0</v>
      </c>
      <c r="AZ37" s="113" t="b">
        <v>0</v>
      </c>
      <c r="BA37" s="113" t="b">
        <v>0</v>
      </c>
      <c r="BB37" s="113" t="b">
        <v>1</v>
      </c>
      <c r="BC37" s="113" t="b">
        <v>1</v>
      </c>
      <c r="BD37" s="113" t="b">
        <v>0</v>
      </c>
      <c r="BE37" s="113" t="b">
        <v>0</v>
      </c>
    </row>
    <row r="38">
      <c r="A38" s="113" t="s">
        <v>1220</v>
      </c>
      <c r="B38" s="113">
        <v>9.155069109E9</v>
      </c>
      <c r="C38" s="113" t="s">
        <v>1221</v>
      </c>
      <c r="D38" s="117" t="s">
        <v>725</v>
      </c>
      <c r="F38" s="113" t="b">
        <v>1</v>
      </c>
      <c r="G38" s="113" t="b">
        <v>1</v>
      </c>
      <c r="H38" s="113" t="b">
        <v>1</v>
      </c>
      <c r="I38" s="113" t="b">
        <v>1</v>
      </c>
      <c r="J38" s="113" t="b">
        <v>1</v>
      </c>
      <c r="K38" s="113" t="b">
        <v>1</v>
      </c>
      <c r="L38" s="113" t="b">
        <v>1</v>
      </c>
      <c r="M38" s="113" t="b">
        <v>1</v>
      </c>
      <c r="N38" s="113" t="b">
        <v>1</v>
      </c>
      <c r="O38" s="113" t="b">
        <v>1</v>
      </c>
      <c r="P38" s="113" t="b">
        <v>1</v>
      </c>
      <c r="Q38" s="113" t="b">
        <v>1</v>
      </c>
      <c r="R38" s="113" t="b">
        <v>1</v>
      </c>
      <c r="S38" s="113" t="b">
        <v>1</v>
      </c>
      <c r="T38" s="113" t="b">
        <v>1</v>
      </c>
      <c r="U38" s="113" t="b">
        <v>1</v>
      </c>
      <c r="V38" s="113" t="b">
        <v>1</v>
      </c>
      <c r="W38" s="113" t="b">
        <v>1</v>
      </c>
      <c r="X38" s="113" t="b">
        <v>1</v>
      </c>
      <c r="Y38" s="113" t="b">
        <v>1</v>
      </c>
      <c r="Z38" s="113" t="b">
        <v>1</v>
      </c>
      <c r="AA38" s="113" t="b">
        <v>1</v>
      </c>
      <c r="AB38" s="113" t="b">
        <v>1</v>
      </c>
      <c r="AC38" s="113" t="b">
        <v>1</v>
      </c>
      <c r="AD38" s="113" t="b">
        <v>1</v>
      </c>
      <c r="AE38" s="113" t="b">
        <v>1</v>
      </c>
      <c r="AF38" s="113" t="b">
        <v>1</v>
      </c>
      <c r="AG38" s="113" t="b">
        <v>0</v>
      </c>
      <c r="AH38" s="113" t="b">
        <v>0</v>
      </c>
      <c r="AI38" s="113" t="b">
        <v>0</v>
      </c>
      <c r="AJ38" s="113" t="b">
        <v>1</v>
      </c>
      <c r="AK38" s="113" t="b">
        <v>0</v>
      </c>
      <c r="AL38" s="113" t="b">
        <v>1</v>
      </c>
      <c r="AM38" s="113" t="b">
        <v>1</v>
      </c>
      <c r="AN38" s="113" t="b">
        <v>0</v>
      </c>
      <c r="AO38" s="113" t="b">
        <v>1</v>
      </c>
      <c r="AP38" s="113" t="b">
        <v>1</v>
      </c>
      <c r="AQ38" s="113" t="b">
        <v>1</v>
      </c>
      <c r="AR38" s="113" t="b">
        <v>1</v>
      </c>
      <c r="AS38" s="113" t="b">
        <v>1</v>
      </c>
      <c r="AT38" s="113" t="b">
        <v>1</v>
      </c>
      <c r="AU38" s="113" t="b">
        <v>0</v>
      </c>
      <c r="AV38" s="113" t="b">
        <v>0</v>
      </c>
      <c r="AW38" s="113" t="b">
        <v>0</v>
      </c>
      <c r="AX38" s="113" t="b">
        <v>0</v>
      </c>
      <c r="AY38" s="113" t="b">
        <v>0</v>
      </c>
      <c r="AZ38" s="113" t="b">
        <v>0</v>
      </c>
      <c r="BA38" s="113" t="b">
        <v>0</v>
      </c>
      <c r="BB38" s="113" t="b">
        <v>1</v>
      </c>
      <c r="BC38" s="113" t="b">
        <v>1</v>
      </c>
      <c r="BD38" s="113" t="b">
        <v>0</v>
      </c>
      <c r="BE38" s="113" t="b">
        <v>0</v>
      </c>
    </row>
    <row r="39">
      <c r="A39" s="113" t="s">
        <v>1222</v>
      </c>
      <c r="B39" s="113">
        <v>7.070708882E9</v>
      </c>
      <c r="C39" s="113" t="s">
        <v>1223</v>
      </c>
      <c r="D39" s="117" t="s">
        <v>725</v>
      </c>
      <c r="F39" s="113" t="b">
        <v>1</v>
      </c>
      <c r="G39" s="113" t="b">
        <v>1</v>
      </c>
      <c r="H39" s="113" t="b">
        <v>0</v>
      </c>
      <c r="I39" s="113" t="b">
        <v>1</v>
      </c>
      <c r="J39" s="113" t="b">
        <v>1</v>
      </c>
      <c r="K39" s="113" t="b">
        <v>0</v>
      </c>
      <c r="L39" s="113" t="b">
        <v>1</v>
      </c>
      <c r="M39" s="113" t="b">
        <v>0</v>
      </c>
      <c r="N39" s="113" t="b">
        <v>0</v>
      </c>
      <c r="O39" s="113" t="b">
        <v>0</v>
      </c>
      <c r="P39" s="113" t="b">
        <v>1</v>
      </c>
      <c r="Q39" s="113" t="b">
        <v>0</v>
      </c>
      <c r="R39" s="113" t="b">
        <v>0</v>
      </c>
      <c r="S39" s="113" t="b">
        <v>0</v>
      </c>
      <c r="T39" s="113" t="b">
        <v>0</v>
      </c>
      <c r="U39" s="113" t="b">
        <v>0</v>
      </c>
      <c r="V39" s="113" t="b">
        <v>1</v>
      </c>
      <c r="W39" s="113" t="b">
        <v>0</v>
      </c>
      <c r="X39" s="113" t="b">
        <v>0</v>
      </c>
      <c r="Y39" s="113" t="b">
        <v>0</v>
      </c>
      <c r="Z39" s="113" t="b">
        <v>1</v>
      </c>
      <c r="AA39" s="113" t="b">
        <v>0</v>
      </c>
      <c r="AB39" s="113" t="b">
        <v>1</v>
      </c>
      <c r="AC39" s="113" t="b">
        <v>0</v>
      </c>
      <c r="AD39" s="113" t="b">
        <v>0</v>
      </c>
      <c r="AE39" s="113" t="b">
        <v>0</v>
      </c>
      <c r="AF39" s="113" t="b">
        <v>0</v>
      </c>
      <c r="AG39" s="113" t="b">
        <v>0</v>
      </c>
      <c r="AH39" s="113" t="b">
        <v>0</v>
      </c>
      <c r="AI39" s="113" t="b">
        <v>0</v>
      </c>
      <c r="AJ39" s="113" t="b">
        <v>0</v>
      </c>
      <c r="AK39" s="113" t="b">
        <v>0</v>
      </c>
      <c r="AL39" s="113" t="b">
        <v>0</v>
      </c>
      <c r="AM39" s="113" t="b">
        <v>0</v>
      </c>
      <c r="AN39" s="113" t="b">
        <v>0</v>
      </c>
      <c r="AO39" s="113" t="b">
        <v>0</v>
      </c>
      <c r="AP39" s="113" t="b">
        <v>0</v>
      </c>
      <c r="AQ39" s="113" t="b">
        <v>1</v>
      </c>
      <c r="AR39" s="113" t="b">
        <v>0</v>
      </c>
      <c r="AS39" s="113" t="b">
        <v>1</v>
      </c>
      <c r="AT39" s="113" t="b">
        <v>0</v>
      </c>
      <c r="AU39" s="113" t="b">
        <v>0</v>
      </c>
      <c r="AV39" s="113" t="b">
        <v>0</v>
      </c>
      <c r="AW39" s="113" t="b">
        <v>0</v>
      </c>
      <c r="AX39" s="113" t="b">
        <v>1</v>
      </c>
      <c r="AY39" s="113" t="b">
        <v>1</v>
      </c>
      <c r="AZ39" s="113" t="b">
        <v>1</v>
      </c>
      <c r="BA39" s="113" t="b">
        <v>1</v>
      </c>
      <c r="BB39" s="113" t="b">
        <v>0</v>
      </c>
      <c r="BC39" s="113" t="b">
        <v>0</v>
      </c>
      <c r="BD39" s="113" t="b">
        <v>0</v>
      </c>
      <c r="BE39" s="113" t="b">
        <v>0</v>
      </c>
    </row>
    <row r="40">
      <c r="A40" s="113" t="s">
        <v>1224</v>
      </c>
      <c r="B40" s="113">
        <v>7.739844903E9</v>
      </c>
      <c r="C40" s="113" t="s">
        <v>1225</v>
      </c>
      <c r="D40" s="117" t="s">
        <v>725</v>
      </c>
      <c r="F40" s="113" t="b">
        <v>1</v>
      </c>
      <c r="G40" s="113" t="b">
        <v>0</v>
      </c>
      <c r="H40" s="113" t="b">
        <v>0</v>
      </c>
      <c r="I40" s="113" t="b">
        <v>1</v>
      </c>
      <c r="J40" s="113" t="b">
        <v>1</v>
      </c>
      <c r="K40" s="113" t="b">
        <v>1</v>
      </c>
      <c r="L40" s="113" t="b">
        <v>1</v>
      </c>
      <c r="M40" s="113" t="b">
        <v>1</v>
      </c>
      <c r="N40" s="113" t="b">
        <v>0</v>
      </c>
      <c r="O40" s="113" t="b">
        <v>1</v>
      </c>
      <c r="P40" s="113" t="b">
        <v>0</v>
      </c>
      <c r="Q40" s="113" t="b">
        <v>1</v>
      </c>
      <c r="R40" s="113" t="b">
        <v>1</v>
      </c>
      <c r="S40" s="113" t="b">
        <v>1</v>
      </c>
      <c r="T40" s="113" t="b">
        <v>1</v>
      </c>
      <c r="U40" s="113" t="b">
        <v>1</v>
      </c>
      <c r="V40" s="113" t="b">
        <v>0</v>
      </c>
      <c r="W40" s="113" t="b">
        <v>1</v>
      </c>
      <c r="X40" s="113" t="b">
        <v>1</v>
      </c>
      <c r="Y40" s="113" t="b">
        <v>1</v>
      </c>
      <c r="Z40" s="113" t="b">
        <v>1</v>
      </c>
      <c r="AA40" s="113" t="b">
        <v>0</v>
      </c>
      <c r="AB40" s="113" t="b">
        <v>1</v>
      </c>
      <c r="AC40" s="113" t="b">
        <v>1</v>
      </c>
      <c r="AD40" s="113" t="b">
        <v>1</v>
      </c>
      <c r="AE40" s="113" t="b">
        <v>1</v>
      </c>
      <c r="AF40" s="113" t="b">
        <v>1</v>
      </c>
      <c r="AG40" s="113" t="b">
        <v>1</v>
      </c>
      <c r="AH40" s="113" t="b">
        <v>1</v>
      </c>
      <c r="AI40" s="113" t="b">
        <v>1</v>
      </c>
      <c r="AJ40" s="113" t="b">
        <v>1</v>
      </c>
      <c r="AK40" s="113" t="b">
        <v>1</v>
      </c>
      <c r="AL40" s="113" t="b">
        <v>1</v>
      </c>
      <c r="AM40" s="113" t="b">
        <v>0</v>
      </c>
      <c r="AN40" s="113" t="b">
        <v>0</v>
      </c>
      <c r="AO40" s="113" t="b">
        <v>1</v>
      </c>
      <c r="AP40" s="113" t="b">
        <v>1</v>
      </c>
      <c r="AQ40" s="113" t="b">
        <v>0</v>
      </c>
      <c r="AR40" s="113" t="b">
        <v>1</v>
      </c>
      <c r="AS40" s="113" t="b">
        <v>1</v>
      </c>
      <c r="AT40" s="113" t="b">
        <v>1</v>
      </c>
      <c r="AU40" s="113" t="b">
        <v>0</v>
      </c>
      <c r="AV40" s="113" t="b">
        <v>0</v>
      </c>
      <c r="AW40" s="113" t="b">
        <v>0</v>
      </c>
      <c r="AX40" s="113" t="b">
        <v>0</v>
      </c>
      <c r="AY40" s="113" t="b">
        <v>1</v>
      </c>
      <c r="AZ40" s="113" t="b">
        <v>1</v>
      </c>
      <c r="BA40" s="113" t="b">
        <v>1</v>
      </c>
      <c r="BB40" s="113" t="b">
        <v>0</v>
      </c>
      <c r="BC40" s="113" t="b">
        <v>0</v>
      </c>
      <c r="BD40" s="113" t="b">
        <v>0</v>
      </c>
      <c r="BE40" s="113" t="b">
        <v>0</v>
      </c>
    </row>
    <row r="41">
      <c r="A41" s="113" t="s">
        <v>1226</v>
      </c>
      <c r="B41" s="113">
        <v>9.798259103E9</v>
      </c>
      <c r="C41" s="113" t="s">
        <v>1227</v>
      </c>
      <c r="D41" s="117" t="s">
        <v>725</v>
      </c>
      <c r="F41" s="113" t="b">
        <v>0</v>
      </c>
      <c r="G41" s="113" t="b">
        <v>0</v>
      </c>
      <c r="H41" s="113" t="b">
        <v>0</v>
      </c>
      <c r="I41" s="113" t="b">
        <v>0</v>
      </c>
      <c r="J41" s="113" t="b">
        <v>0</v>
      </c>
      <c r="K41" s="113" t="b">
        <v>0</v>
      </c>
      <c r="L41" s="113" t="b">
        <v>0</v>
      </c>
      <c r="M41" s="113" t="b">
        <v>0</v>
      </c>
      <c r="N41" s="113" t="b">
        <v>0</v>
      </c>
      <c r="O41" s="113" t="b">
        <v>0</v>
      </c>
      <c r="P41" s="113" t="b">
        <v>0</v>
      </c>
      <c r="Q41" s="113" t="b">
        <v>0</v>
      </c>
      <c r="R41" s="113" t="b">
        <v>0</v>
      </c>
      <c r="S41" s="113" t="b">
        <v>0</v>
      </c>
      <c r="T41" s="113" t="b">
        <v>0</v>
      </c>
      <c r="U41" s="113" t="b">
        <v>1</v>
      </c>
      <c r="V41" s="113" t="b">
        <v>0</v>
      </c>
      <c r="W41" s="113" t="b">
        <v>0</v>
      </c>
      <c r="X41" s="113" t="b">
        <v>0</v>
      </c>
      <c r="Y41" s="113" t="b">
        <v>0</v>
      </c>
      <c r="Z41" s="113" t="b">
        <v>0</v>
      </c>
      <c r="AA41" s="113" t="b">
        <v>0</v>
      </c>
      <c r="AB41" s="113" t="b">
        <v>1</v>
      </c>
      <c r="AC41" s="113" t="b">
        <v>0</v>
      </c>
      <c r="AD41" s="113" t="b">
        <v>1</v>
      </c>
      <c r="AE41" s="113" t="b">
        <v>1</v>
      </c>
      <c r="AF41" s="113" t="b">
        <v>1</v>
      </c>
      <c r="AG41" s="113" t="b">
        <v>1</v>
      </c>
      <c r="AH41" s="113" t="b">
        <v>1</v>
      </c>
      <c r="AI41" s="113" t="b">
        <v>0</v>
      </c>
      <c r="AJ41" s="113" t="b">
        <v>1</v>
      </c>
      <c r="AK41" s="113" t="b">
        <v>0</v>
      </c>
      <c r="AL41" s="113" t="b">
        <v>1</v>
      </c>
      <c r="AM41" s="113" t="b">
        <v>1</v>
      </c>
      <c r="AN41" s="113" t="b">
        <v>0</v>
      </c>
      <c r="AO41" s="113" t="b">
        <v>0</v>
      </c>
      <c r="AP41" s="113" t="b">
        <v>1</v>
      </c>
      <c r="AQ41" s="113" t="b">
        <v>1</v>
      </c>
      <c r="AR41" s="113" t="b">
        <v>0</v>
      </c>
      <c r="AS41" s="113" t="b">
        <v>1</v>
      </c>
      <c r="AT41" s="113" t="b">
        <v>0</v>
      </c>
      <c r="AU41" s="113" t="b">
        <v>0</v>
      </c>
      <c r="AV41" s="113" t="b">
        <v>0</v>
      </c>
      <c r="AW41" s="113" t="b">
        <v>0</v>
      </c>
      <c r="AX41" s="113" t="b">
        <v>0</v>
      </c>
      <c r="AY41" s="113" t="b">
        <v>1</v>
      </c>
      <c r="AZ41" s="113" t="b">
        <v>1</v>
      </c>
      <c r="BA41" s="113" t="b">
        <v>0</v>
      </c>
      <c r="BB41" s="113" t="b">
        <v>0</v>
      </c>
      <c r="BC41" s="113" t="b">
        <v>0</v>
      </c>
      <c r="BD41" s="113" t="b">
        <v>0</v>
      </c>
      <c r="BE41" s="113" t="b">
        <v>0</v>
      </c>
    </row>
    <row r="42">
      <c r="A42" s="113" t="s">
        <v>1228</v>
      </c>
      <c r="B42" s="113">
        <v>9.693008542E9</v>
      </c>
      <c r="C42" s="113" t="s">
        <v>1229</v>
      </c>
      <c r="D42" s="117" t="s">
        <v>725</v>
      </c>
      <c r="F42" s="113" t="b">
        <v>1</v>
      </c>
      <c r="G42" s="113" t="b">
        <v>1</v>
      </c>
      <c r="H42" s="113" t="b">
        <v>1</v>
      </c>
      <c r="I42" s="113" t="b">
        <v>1</v>
      </c>
      <c r="J42" s="113" t="b">
        <v>1</v>
      </c>
      <c r="K42" s="113" t="b">
        <v>0</v>
      </c>
      <c r="L42" s="113" t="b">
        <v>0</v>
      </c>
      <c r="M42" s="113" t="b">
        <v>0</v>
      </c>
      <c r="N42" s="113" t="b">
        <v>0</v>
      </c>
      <c r="O42" s="113" t="b">
        <v>1</v>
      </c>
      <c r="P42" s="113" t="b">
        <v>1</v>
      </c>
      <c r="Q42" s="113" t="b">
        <v>1</v>
      </c>
      <c r="R42" s="113" t="b">
        <v>1</v>
      </c>
      <c r="S42" s="113" t="b">
        <v>1</v>
      </c>
      <c r="T42" s="113" t="b">
        <v>1</v>
      </c>
      <c r="U42" s="113" t="b">
        <v>1</v>
      </c>
      <c r="V42" s="113" t="b">
        <v>0</v>
      </c>
      <c r="W42" s="113" t="b">
        <v>1</v>
      </c>
      <c r="X42" s="113" t="b">
        <v>1</v>
      </c>
      <c r="Y42" s="113" t="b">
        <v>0</v>
      </c>
      <c r="Z42" s="113" t="b">
        <v>0</v>
      </c>
      <c r="AA42" s="113" t="b">
        <v>1</v>
      </c>
      <c r="AB42" s="113" t="b">
        <v>1</v>
      </c>
      <c r="AC42" s="113" t="b">
        <v>1</v>
      </c>
      <c r="AD42" s="113" t="b">
        <v>0</v>
      </c>
      <c r="AE42" s="113" t="b">
        <v>0</v>
      </c>
      <c r="AF42" s="113" t="b">
        <v>0</v>
      </c>
      <c r="AG42" s="113" t="b">
        <v>0</v>
      </c>
      <c r="AH42" s="113" t="b">
        <v>0</v>
      </c>
      <c r="AI42" s="113" t="b">
        <v>1</v>
      </c>
      <c r="AJ42" s="113" t="b">
        <v>0</v>
      </c>
      <c r="AK42" s="113" t="b">
        <v>0</v>
      </c>
      <c r="AL42" s="113" t="b">
        <v>0</v>
      </c>
      <c r="AM42" s="113" t="b">
        <v>1</v>
      </c>
      <c r="AN42" s="113" t="b">
        <v>0</v>
      </c>
      <c r="AO42" s="113" t="b">
        <v>0</v>
      </c>
      <c r="AP42" s="113" t="b">
        <v>0</v>
      </c>
      <c r="AQ42" s="113" t="b">
        <v>1</v>
      </c>
      <c r="AR42" s="113" t="b">
        <v>1</v>
      </c>
      <c r="AS42" s="113" t="b">
        <v>1</v>
      </c>
      <c r="AT42" s="113" t="b">
        <v>1</v>
      </c>
      <c r="AU42" s="113" t="b">
        <v>1</v>
      </c>
      <c r="AV42" s="113" t="b">
        <v>1</v>
      </c>
      <c r="AW42" s="113" t="b">
        <v>1</v>
      </c>
      <c r="AX42" s="113" t="b">
        <v>1</v>
      </c>
      <c r="AY42" s="113" t="b">
        <v>1</v>
      </c>
      <c r="AZ42" s="113" t="b">
        <v>1</v>
      </c>
      <c r="BA42" s="113" t="b">
        <v>0</v>
      </c>
      <c r="BB42" s="113" t="b">
        <v>0</v>
      </c>
      <c r="BC42" s="113" t="b">
        <v>0</v>
      </c>
      <c r="BD42" s="113" t="b">
        <v>0</v>
      </c>
      <c r="BE42" s="113" t="b">
        <v>0</v>
      </c>
    </row>
    <row r="43">
      <c r="A43" s="113" t="s">
        <v>1230</v>
      </c>
      <c r="B43" s="113">
        <v>9.135335655E9</v>
      </c>
      <c r="C43" s="113" t="s">
        <v>1231</v>
      </c>
      <c r="D43" s="117" t="s">
        <v>725</v>
      </c>
      <c r="F43" s="113" t="b">
        <v>0</v>
      </c>
      <c r="G43" s="113" t="b">
        <v>0</v>
      </c>
      <c r="H43" s="113" t="b">
        <v>0</v>
      </c>
      <c r="I43" s="113" t="b">
        <v>0</v>
      </c>
      <c r="J43" s="113" t="b">
        <v>0</v>
      </c>
      <c r="K43" s="113" t="b">
        <v>0</v>
      </c>
      <c r="L43" s="113" t="b">
        <v>0</v>
      </c>
      <c r="M43" s="113" t="b">
        <v>0</v>
      </c>
      <c r="N43" s="113" t="b">
        <v>0</v>
      </c>
      <c r="O43" s="113" t="b">
        <v>0</v>
      </c>
      <c r="P43" s="113" t="b">
        <v>0</v>
      </c>
      <c r="Q43" s="113" t="b">
        <v>0</v>
      </c>
      <c r="R43" s="113" t="b">
        <v>0</v>
      </c>
      <c r="S43" s="113" t="b">
        <v>0</v>
      </c>
      <c r="T43" s="113" t="b">
        <v>0</v>
      </c>
      <c r="U43" s="113" t="b">
        <v>0</v>
      </c>
      <c r="V43" s="113" t="b">
        <v>0</v>
      </c>
      <c r="W43" s="113" t="b">
        <v>0</v>
      </c>
      <c r="X43" s="113" t="b">
        <v>0</v>
      </c>
      <c r="Y43" s="113" t="b">
        <v>0</v>
      </c>
      <c r="Z43" s="113" t="b">
        <v>0</v>
      </c>
      <c r="AA43" s="113" t="b">
        <v>0</v>
      </c>
      <c r="AB43" s="113" t="b">
        <v>0</v>
      </c>
      <c r="AC43" s="113" t="b">
        <v>0</v>
      </c>
      <c r="AD43" s="113" t="b">
        <v>0</v>
      </c>
      <c r="AE43" s="113" t="b">
        <v>0</v>
      </c>
      <c r="AF43" s="113" t="b">
        <v>0</v>
      </c>
      <c r="AG43" s="113" t="b">
        <v>0</v>
      </c>
      <c r="AH43" s="113" t="b">
        <v>0</v>
      </c>
      <c r="AI43" s="113" t="b">
        <v>0</v>
      </c>
      <c r="AJ43" s="113" t="b">
        <v>0</v>
      </c>
      <c r="AK43" s="113" t="b">
        <v>0</v>
      </c>
      <c r="AL43" s="113" t="b">
        <v>0</v>
      </c>
      <c r="AM43" s="113" t="b">
        <v>0</v>
      </c>
      <c r="AN43" s="113" t="b">
        <v>0</v>
      </c>
      <c r="AO43" s="113" t="b">
        <v>0</v>
      </c>
      <c r="AP43" s="113" t="b">
        <v>0</v>
      </c>
      <c r="AQ43" s="113" t="b">
        <v>0</v>
      </c>
      <c r="AR43" s="113" t="b">
        <v>0</v>
      </c>
      <c r="AS43" s="113" t="b">
        <v>0</v>
      </c>
      <c r="AT43" s="113" t="b">
        <v>0</v>
      </c>
      <c r="AU43" s="113" t="b">
        <v>0</v>
      </c>
      <c r="AV43" s="113" t="b">
        <v>0</v>
      </c>
      <c r="AW43" s="113" t="b">
        <v>0</v>
      </c>
      <c r="AX43" s="113" t="b">
        <v>0</v>
      </c>
      <c r="AY43" s="113" t="b">
        <v>0</v>
      </c>
      <c r="AZ43" s="113" t="b">
        <v>0</v>
      </c>
      <c r="BA43" s="113" t="b">
        <v>0</v>
      </c>
      <c r="BB43" s="113" t="b">
        <v>0</v>
      </c>
      <c r="BC43" s="113" t="b">
        <v>0</v>
      </c>
      <c r="BD43" s="113" t="b">
        <v>0</v>
      </c>
      <c r="BE43" s="113" t="b">
        <v>0</v>
      </c>
    </row>
    <row r="44">
      <c r="A44" s="109" t="s">
        <v>1232</v>
      </c>
      <c r="B44" s="109">
        <v>7.992346173E9</v>
      </c>
      <c r="C44" s="109" t="s">
        <v>1233</v>
      </c>
      <c r="D44" s="109" t="s">
        <v>725</v>
      </c>
      <c r="F44" s="113" t="b">
        <v>0</v>
      </c>
      <c r="G44" s="113" t="b">
        <v>0</v>
      </c>
      <c r="H44" s="113" t="b">
        <v>0</v>
      </c>
      <c r="I44" s="113" t="b">
        <v>0</v>
      </c>
      <c r="J44" s="113" t="b">
        <v>0</v>
      </c>
      <c r="K44" s="113" t="b">
        <v>0</v>
      </c>
      <c r="L44" s="113" t="b">
        <v>0</v>
      </c>
      <c r="M44" s="113" t="b">
        <v>0</v>
      </c>
      <c r="N44" s="113" t="b">
        <v>0</v>
      </c>
      <c r="O44" s="113" t="b">
        <v>0</v>
      </c>
      <c r="P44" s="113" t="b">
        <v>0</v>
      </c>
      <c r="Q44" s="113" t="b">
        <v>0</v>
      </c>
      <c r="R44" s="113" t="b">
        <v>0</v>
      </c>
      <c r="S44" s="113" t="b">
        <v>0</v>
      </c>
      <c r="T44" s="113" t="b">
        <v>0</v>
      </c>
      <c r="U44" s="113" t="b">
        <v>0</v>
      </c>
      <c r="V44" s="113" t="b">
        <v>0</v>
      </c>
      <c r="W44" s="113" t="b">
        <v>0</v>
      </c>
      <c r="X44" s="113" t="b">
        <v>0</v>
      </c>
      <c r="Y44" s="113" t="b">
        <v>0</v>
      </c>
      <c r="Z44" s="113" t="b">
        <v>0</v>
      </c>
      <c r="AA44" s="113" t="b">
        <v>0</v>
      </c>
      <c r="AB44" s="113" t="b">
        <v>0</v>
      </c>
      <c r="AC44" s="113" t="b">
        <v>0</v>
      </c>
      <c r="AD44" s="113" t="b">
        <v>0</v>
      </c>
      <c r="AE44" s="113" t="b">
        <v>0</v>
      </c>
      <c r="AF44" s="113" t="b">
        <v>0</v>
      </c>
      <c r="AG44" s="113" t="b">
        <v>0</v>
      </c>
      <c r="AH44" s="113" t="b">
        <v>0</v>
      </c>
      <c r="AI44" s="113" t="b">
        <v>1</v>
      </c>
      <c r="AJ44" s="113" t="b">
        <v>0</v>
      </c>
      <c r="AK44" s="113" t="b">
        <v>1</v>
      </c>
      <c r="AL44" s="113" t="b">
        <v>1</v>
      </c>
      <c r="AM44" s="113" t="b">
        <v>0</v>
      </c>
      <c r="AN44" s="113" t="b">
        <v>0</v>
      </c>
      <c r="AO44" s="113" t="b">
        <v>1</v>
      </c>
      <c r="AP44" s="113" t="b">
        <v>0</v>
      </c>
      <c r="AQ44" s="113" t="b">
        <v>0</v>
      </c>
      <c r="AR44" s="113" t="b">
        <v>0</v>
      </c>
      <c r="AS44" s="113" t="b">
        <v>0</v>
      </c>
      <c r="AT44" s="113" t="b">
        <v>0</v>
      </c>
      <c r="AU44" s="113" t="b">
        <v>0</v>
      </c>
      <c r="AV44" s="113" t="b">
        <v>0</v>
      </c>
      <c r="AW44" s="113" t="b">
        <v>0</v>
      </c>
      <c r="AX44" s="113" t="b">
        <v>0</v>
      </c>
      <c r="AY44" s="113" t="b">
        <v>0</v>
      </c>
      <c r="AZ44" s="113" t="b">
        <v>0</v>
      </c>
      <c r="BA44" s="113" t="b">
        <v>0</v>
      </c>
      <c r="BB44" s="113" t="b">
        <v>0</v>
      </c>
      <c r="BC44" s="113" t="b">
        <v>0</v>
      </c>
      <c r="BD44" s="113" t="b">
        <v>0</v>
      </c>
      <c r="BE44" s="113" t="b">
        <v>0</v>
      </c>
    </row>
    <row r="45">
      <c r="A45" s="121" t="s">
        <v>1234</v>
      </c>
      <c r="B45" s="121">
        <v>9.934014529E9</v>
      </c>
      <c r="C45" s="121" t="s">
        <v>1235</v>
      </c>
      <c r="D45" s="129" t="s">
        <v>725</v>
      </c>
      <c r="E45" s="112"/>
      <c r="F45" s="121" t="b">
        <v>0</v>
      </c>
      <c r="G45" s="121" t="b">
        <v>0</v>
      </c>
      <c r="H45" s="121" t="b">
        <v>0</v>
      </c>
      <c r="I45" s="121" t="b">
        <v>0</v>
      </c>
      <c r="J45" s="121" t="b">
        <v>0</v>
      </c>
      <c r="K45" s="121" t="b">
        <v>0</v>
      </c>
      <c r="L45" s="121" t="b">
        <v>0</v>
      </c>
      <c r="M45" s="121" t="b">
        <v>0</v>
      </c>
      <c r="N45" s="121" t="b">
        <v>0</v>
      </c>
      <c r="O45" s="121" t="b">
        <v>0</v>
      </c>
      <c r="P45" s="121" t="b">
        <v>0</v>
      </c>
      <c r="Q45" s="121" t="b">
        <v>0</v>
      </c>
      <c r="R45" s="121" t="b">
        <v>0</v>
      </c>
      <c r="S45" s="121" t="b">
        <v>0</v>
      </c>
      <c r="T45" s="121" t="b">
        <v>0</v>
      </c>
      <c r="U45" s="121" t="b">
        <v>0</v>
      </c>
      <c r="V45" s="121" t="b">
        <v>0</v>
      </c>
      <c r="W45" s="121" t="b">
        <v>0</v>
      </c>
      <c r="X45" s="121" t="b">
        <v>0</v>
      </c>
      <c r="Y45" s="121" t="b">
        <v>0</v>
      </c>
      <c r="Z45" s="121" t="b">
        <v>1</v>
      </c>
      <c r="AA45" s="121" t="b">
        <v>0</v>
      </c>
      <c r="AB45" s="121" t="b">
        <v>0</v>
      </c>
      <c r="AC45" s="121" t="b">
        <v>0</v>
      </c>
      <c r="AD45" s="121" t="b">
        <v>0</v>
      </c>
      <c r="AE45" s="121" t="b">
        <v>0</v>
      </c>
      <c r="AF45" s="121" t="b">
        <v>0</v>
      </c>
      <c r="AG45" s="121" t="b">
        <v>0</v>
      </c>
      <c r="AH45" s="121" t="b">
        <v>0</v>
      </c>
      <c r="AI45" s="121" t="b">
        <v>0</v>
      </c>
      <c r="AJ45" s="121" t="b">
        <v>0</v>
      </c>
      <c r="AK45" s="121" t="b">
        <v>0</v>
      </c>
      <c r="AL45" s="121" t="b">
        <v>1</v>
      </c>
      <c r="AM45" s="121" t="b">
        <v>0</v>
      </c>
      <c r="AN45" s="121" t="b">
        <v>0</v>
      </c>
      <c r="AO45" s="121" t="b">
        <v>0</v>
      </c>
      <c r="AP45" s="121" t="b">
        <v>1</v>
      </c>
      <c r="AQ45" s="121" t="b">
        <v>1</v>
      </c>
      <c r="AR45" s="121" t="b">
        <v>1</v>
      </c>
      <c r="AS45" s="121" t="b">
        <v>1</v>
      </c>
      <c r="AT45" s="121" t="b">
        <v>1</v>
      </c>
      <c r="AU45" s="121" t="b">
        <v>1</v>
      </c>
      <c r="AV45" s="121" t="b">
        <v>1</v>
      </c>
      <c r="AW45" s="121" t="b">
        <v>1</v>
      </c>
      <c r="AX45" s="121" t="b">
        <v>1</v>
      </c>
      <c r="AY45" s="121" t="b">
        <v>0</v>
      </c>
      <c r="AZ45" s="121" t="b">
        <v>0</v>
      </c>
      <c r="BA45" s="121" t="b">
        <v>0</v>
      </c>
      <c r="BB45" s="121" t="b">
        <v>1</v>
      </c>
      <c r="BC45" s="121" t="b">
        <v>0</v>
      </c>
      <c r="BD45" s="121" t="b">
        <v>0</v>
      </c>
      <c r="BE45" s="121" t="b">
        <v>0</v>
      </c>
    </row>
    <row r="46">
      <c r="A46" s="119" t="s">
        <v>1236</v>
      </c>
      <c r="B46" s="119">
        <v>9.834729011E9</v>
      </c>
      <c r="C46" s="119" t="s">
        <v>1237</v>
      </c>
      <c r="D46" s="130" t="s">
        <v>830</v>
      </c>
      <c r="E46" s="134" t="s">
        <v>1121</v>
      </c>
      <c r="F46" s="119" t="b">
        <v>1</v>
      </c>
      <c r="G46" s="119" t="b">
        <v>0</v>
      </c>
      <c r="H46" s="119" t="b">
        <v>1</v>
      </c>
      <c r="I46" s="119" t="b">
        <v>0</v>
      </c>
      <c r="J46" s="119" t="b">
        <v>1</v>
      </c>
      <c r="K46" s="119" t="b">
        <v>0</v>
      </c>
      <c r="L46" s="119" t="b">
        <v>1</v>
      </c>
      <c r="M46" s="119" t="b">
        <v>0</v>
      </c>
      <c r="N46" s="119" t="b">
        <v>0</v>
      </c>
      <c r="O46" s="119" t="b">
        <v>1</v>
      </c>
      <c r="P46" s="119" t="b">
        <v>1</v>
      </c>
      <c r="Q46" s="119" t="b">
        <v>1</v>
      </c>
      <c r="R46" s="119" t="b">
        <v>0</v>
      </c>
      <c r="S46" s="119" t="b">
        <v>1</v>
      </c>
      <c r="T46" s="119" t="b">
        <v>0</v>
      </c>
      <c r="U46" s="119" t="b">
        <v>1</v>
      </c>
      <c r="V46" s="119" t="b">
        <v>0</v>
      </c>
      <c r="W46" s="119" t="b">
        <v>1</v>
      </c>
      <c r="X46" s="119" t="b">
        <v>0</v>
      </c>
      <c r="Y46" s="119" t="b">
        <v>0</v>
      </c>
      <c r="Z46" s="119" t="b">
        <v>1</v>
      </c>
      <c r="AA46" s="119" t="b">
        <v>1</v>
      </c>
      <c r="AB46" s="119" t="b">
        <v>0</v>
      </c>
      <c r="AC46" s="119" t="b">
        <v>0</v>
      </c>
      <c r="AD46" s="119" t="b">
        <v>1</v>
      </c>
      <c r="AE46" s="119" t="b">
        <v>0</v>
      </c>
      <c r="AF46" s="119" t="b">
        <v>1</v>
      </c>
      <c r="AG46" s="119" t="b">
        <v>0</v>
      </c>
      <c r="AH46" s="119" t="b">
        <v>1</v>
      </c>
      <c r="AI46" s="119" t="b">
        <v>0</v>
      </c>
      <c r="AJ46" s="119" t="b">
        <v>0</v>
      </c>
      <c r="AK46" s="119" t="b">
        <v>0</v>
      </c>
      <c r="AL46" s="119" t="b">
        <v>1</v>
      </c>
      <c r="AM46" s="119" t="b">
        <v>1</v>
      </c>
      <c r="AN46" s="119" t="b">
        <v>1</v>
      </c>
      <c r="AO46" s="119" t="b">
        <v>1</v>
      </c>
      <c r="AP46" s="119" t="b">
        <v>0</v>
      </c>
      <c r="AQ46" s="119" t="b">
        <v>1</v>
      </c>
      <c r="AR46" s="119" t="b">
        <v>1</v>
      </c>
      <c r="AS46" s="119" t="b">
        <v>0</v>
      </c>
      <c r="AT46" s="119" t="b">
        <v>1</v>
      </c>
      <c r="AU46" s="119" t="b">
        <v>1</v>
      </c>
      <c r="AV46" s="119" t="b">
        <v>1</v>
      </c>
      <c r="AW46" s="119" t="b">
        <v>1</v>
      </c>
      <c r="AX46" s="119" t="b">
        <v>0</v>
      </c>
      <c r="AY46" s="119" t="b">
        <v>1</v>
      </c>
      <c r="AZ46" s="119" t="b">
        <v>1</v>
      </c>
      <c r="BA46" s="119" t="b">
        <v>1</v>
      </c>
      <c r="BB46" s="119" t="b">
        <v>1</v>
      </c>
      <c r="BC46" s="119" t="b">
        <v>1</v>
      </c>
      <c r="BD46" s="119" t="b">
        <v>1</v>
      </c>
      <c r="BE46" s="119" t="b">
        <v>1</v>
      </c>
    </row>
    <row r="47">
      <c r="A47" s="119" t="s">
        <v>1238</v>
      </c>
      <c r="B47" s="119">
        <v>8.830426259E9</v>
      </c>
      <c r="C47" s="119" t="s">
        <v>1239</v>
      </c>
      <c r="D47" s="130" t="s">
        <v>830</v>
      </c>
      <c r="F47" s="119" t="b">
        <v>1</v>
      </c>
      <c r="G47" s="119" t="b">
        <v>1</v>
      </c>
      <c r="H47" s="119" t="b">
        <v>1</v>
      </c>
      <c r="I47" s="119" t="b">
        <v>1</v>
      </c>
      <c r="J47" s="119" t="b">
        <v>1</v>
      </c>
      <c r="K47" s="119" t="b">
        <v>1</v>
      </c>
      <c r="L47" s="119" t="b">
        <v>1</v>
      </c>
      <c r="M47" s="119" t="b">
        <v>1</v>
      </c>
      <c r="N47" s="119" t="b">
        <v>1</v>
      </c>
      <c r="O47" s="119" t="b">
        <v>1</v>
      </c>
      <c r="P47" s="119" t="b">
        <v>1</v>
      </c>
      <c r="Q47" s="119" t="b">
        <v>1</v>
      </c>
      <c r="R47" s="119" t="b">
        <v>1</v>
      </c>
      <c r="S47" s="119" t="b">
        <v>1</v>
      </c>
      <c r="T47" s="119" t="b">
        <v>1</v>
      </c>
      <c r="U47" s="119" t="b">
        <v>1</v>
      </c>
      <c r="V47" s="119" t="b">
        <v>1</v>
      </c>
      <c r="W47" s="119" t="b">
        <v>1</v>
      </c>
      <c r="X47" s="119" t="b">
        <v>1</v>
      </c>
      <c r="Y47" s="119" t="b">
        <v>0</v>
      </c>
      <c r="Z47" s="119" t="b">
        <v>1</v>
      </c>
      <c r="AA47" s="119" t="b">
        <v>1</v>
      </c>
      <c r="AB47" s="119" t="b">
        <v>1</v>
      </c>
      <c r="AC47" s="119" t="b">
        <v>1</v>
      </c>
      <c r="AD47" s="119" t="b">
        <v>1</v>
      </c>
      <c r="AE47" s="119" t="b">
        <v>1</v>
      </c>
      <c r="AF47" s="119" t="b">
        <v>1</v>
      </c>
      <c r="AG47" s="119" t="b">
        <v>0</v>
      </c>
      <c r="AH47" s="119" t="b">
        <v>1</v>
      </c>
      <c r="AI47" s="119" t="b">
        <v>0</v>
      </c>
      <c r="AJ47" s="119" t="b">
        <v>1</v>
      </c>
      <c r="AK47" s="119" t="b">
        <v>1</v>
      </c>
      <c r="AL47" s="119" t="b">
        <v>1</v>
      </c>
      <c r="AM47" s="119" t="b">
        <v>1</v>
      </c>
      <c r="AN47" s="119" t="b">
        <v>1</v>
      </c>
      <c r="AO47" s="119" t="b">
        <v>1</v>
      </c>
      <c r="AP47" s="119" t="b">
        <v>1</v>
      </c>
      <c r="AQ47" s="119" t="b">
        <v>1</v>
      </c>
      <c r="AR47" s="119" t="b">
        <v>1</v>
      </c>
      <c r="AS47" s="119" t="b">
        <v>1</v>
      </c>
      <c r="AT47" s="119" t="b">
        <v>1</v>
      </c>
      <c r="AU47" s="119" t="b">
        <v>1</v>
      </c>
      <c r="AV47" s="119" t="b">
        <v>1</v>
      </c>
      <c r="AW47" s="119" t="b">
        <v>1</v>
      </c>
      <c r="AX47" s="119" t="b">
        <v>1</v>
      </c>
      <c r="AY47" s="119" t="b">
        <v>1</v>
      </c>
      <c r="AZ47" s="119" t="b">
        <v>1</v>
      </c>
      <c r="BA47" s="119" t="b">
        <v>1</v>
      </c>
      <c r="BB47" s="119" t="b">
        <v>1</v>
      </c>
      <c r="BC47" s="119" t="b">
        <v>1</v>
      </c>
      <c r="BD47" s="119" t="b">
        <v>1</v>
      </c>
      <c r="BE47" s="119" t="b">
        <v>1</v>
      </c>
    </row>
    <row r="48">
      <c r="A48" s="119" t="s">
        <v>1240</v>
      </c>
      <c r="B48" s="119">
        <v>7.276516032E9</v>
      </c>
      <c r="C48" s="119" t="s">
        <v>1241</v>
      </c>
      <c r="D48" s="130" t="s">
        <v>830</v>
      </c>
      <c r="F48" s="119" t="b">
        <v>0</v>
      </c>
      <c r="G48" s="119" t="b">
        <v>1</v>
      </c>
      <c r="H48" s="119" t="b">
        <v>0</v>
      </c>
      <c r="I48" s="119" t="b">
        <v>1</v>
      </c>
      <c r="J48" s="119" t="b">
        <v>1</v>
      </c>
      <c r="K48" s="119" t="b">
        <v>1</v>
      </c>
      <c r="L48" s="119" t="b">
        <v>1</v>
      </c>
      <c r="M48" s="119" t="b">
        <v>1</v>
      </c>
      <c r="N48" s="119" t="b">
        <v>1</v>
      </c>
      <c r="O48" s="119" t="b">
        <v>1</v>
      </c>
      <c r="P48" s="119" t="b">
        <v>0</v>
      </c>
      <c r="Q48" s="119" t="b">
        <v>1</v>
      </c>
      <c r="R48" s="119" t="b">
        <v>1</v>
      </c>
      <c r="S48" s="119" t="b">
        <v>1</v>
      </c>
      <c r="T48" s="119" t="b">
        <v>1</v>
      </c>
      <c r="U48" s="119" t="b">
        <v>1</v>
      </c>
      <c r="V48" s="119" t="b">
        <v>0</v>
      </c>
      <c r="W48" s="119" t="b">
        <v>1</v>
      </c>
      <c r="X48" s="119" t="b">
        <v>1</v>
      </c>
      <c r="Y48" s="119" t="b">
        <v>0</v>
      </c>
      <c r="Z48" s="119" t="b">
        <v>1</v>
      </c>
      <c r="AA48" s="119" t="b">
        <v>1</v>
      </c>
      <c r="AB48" s="119" t="b">
        <v>0</v>
      </c>
      <c r="AC48" s="119" t="b">
        <v>1</v>
      </c>
      <c r="AD48" s="119" t="b">
        <v>1</v>
      </c>
      <c r="AE48" s="119" t="b">
        <v>1</v>
      </c>
      <c r="AF48" s="119" t="b">
        <v>1</v>
      </c>
      <c r="AG48" s="119" t="b">
        <v>0</v>
      </c>
      <c r="AH48" s="119" t="b">
        <v>1</v>
      </c>
      <c r="AI48" s="119" t="b">
        <v>0</v>
      </c>
      <c r="AJ48" s="119" t="b">
        <v>1</v>
      </c>
      <c r="AK48" s="119" t="b">
        <v>1</v>
      </c>
      <c r="AL48" s="119" t="b">
        <v>1</v>
      </c>
      <c r="AM48" s="119" t="b">
        <v>1</v>
      </c>
      <c r="AN48" s="119" t="b">
        <v>1</v>
      </c>
      <c r="AO48" s="119" t="b">
        <v>1</v>
      </c>
      <c r="AP48" s="119" t="b">
        <v>1</v>
      </c>
      <c r="AQ48" s="119" t="b">
        <v>1</v>
      </c>
      <c r="AR48" s="119" t="b">
        <v>1</v>
      </c>
      <c r="AS48" s="119" t="b">
        <v>1</v>
      </c>
      <c r="AT48" s="119" t="b">
        <v>0</v>
      </c>
      <c r="AU48" s="119" t="b">
        <v>1</v>
      </c>
      <c r="AV48" s="119" t="b">
        <v>1</v>
      </c>
      <c r="AW48" s="119" t="b">
        <v>1</v>
      </c>
      <c r="AX48" s="119" t="b">
        <v>1</v>
      </c>
      <c r="AY48" s="119" t="b">
        <v>1</v>
      </c>
      <c r="AZ48" s="119" t="b">
        <v>1</v>
      </c>
      <c r="BA48" s="119" t="b">
        <v>1</v>
      </c>
      <c r="BB48" s="119" t="b">
        <v>1</v>
      </c>
      <c r="BC48" s="119" t="b">
        <v>1</v>
      </c>
      <c r="BD48" s="119" t="b">
        <v>1</v>
      </c>
      <c r="BE48" s="119" t="b">
        <v>1</v>
      </c>
    </row>
    <row r="49">
      <c r="A49" s="119" t="s">
        <v>1242</v>
      </c>
      <c r="B49" s="119">
        <v>7.249560462E9</v>
      </c>
      <c r="C49" s="119" t="s">
        <v>1243</v>
      </c>
      <c r="D49" s="130" t="s">
        <v>830</v>
      </c>
      <c r="F49" s="119" t="b">
        <v>0</v>
      </c>
      <c r="G49" s="119" t="b">
        <v>0</v>
      </c>
      <c r="H49" s="119" t="b">
        <v>0</v>
      </c>
      <c r="I49" s="119" t="b">
        <v>0</v>
      </c>
      <c r="J49" s="119" t="b">
        <v>0</v>
      </c>
      <c r="K49" s="119" t="b">
        <v>0</v>
      </c>
      <c r="L49" s="119" t="b">
        <v>0</v>
      </c>
      <c r="M49" s="119" t="b">
        <v>0</v>
      </c>
      <c r="N49" s="119" t="b">
        <v>0</v>
      </c>
      <c r="O49" s="119" t="b">
        <v>0</v>
      </c>
      <c r="P49" s="119" t="b">
        <v>0</v>
      </c>
      <c r="Q49" s="119" t="b">
        <v>1</v>
      </c>
      <c r="R49" s="119" t="b">
        <v>0</v>
      </c>
      <c r="S49" s="119" t="b">
        <v>0</v>
      </c>
      <c r="T49" s="119" t="b">
        <v>0</v>
      </c>
      <c r="U49" s="119" t="b">
        <v>0</v>
      </c>
      <c r="V49" s="119" t="b">
        <v>0</v>
      </c>
      <c r="W49" s="119" t="b">
        <v>0</v>
      </c>
      <c r="X49" s="119" t="b">
        <v>0</v>
      </c>
      <c r="Y49" s="119" t="b">
        <v>0</v>
      </c>
      <c r="Z49" s="119" t="b">
        <v>0</v>
      </c>
      <c r="AA49" s="119" t="b">
        <v>0</v>
      </c>
      <c r="AB49" s="119" t="b">
        <v>0</v>
      </c>
      <c r="AC49" s="119" t="b">
        <v>1</v>
      </c>
      <c r="AD49" s="119" t="b">
        <v>0</v>
      </c>
      <c r="AE49" s="119" t="b">
        <v>1</v>
      </c>
      <c r="AF49" s="119" t="b">
        <v>1</v>
      </c>
      <c r="AG49" s="119" t="b">
        <v>0</v>
      </c>
      <c r="AH49" s="119" t="b">
        <v>0</v>
      </c>
      <c r="AI49" s="119" t="b">
        <v>0</v>
      </c>
      <c r="AJ49" s="119" t="b">
        <v>0</v>
      </c>
      <c r="AK49" s="119" t="b">
        <v>0</v>
      </c>
      <c r="AL49" s="119" t="b">
        <v>0</v>
      </c>
      <c r="AM49" s="119" t="b">
        <v>0</v>
      </c>
      <c r="AN49" s="119" t="b">
        <v>0</v>
      </c>
      <c r="AO49" s="119" t="b">
        <v>0</v>
      </c>
      <c r="AP49" s="119" t="b">
        <v>0</v>
      </c>
      <c r="AQ49" s="119" t="b">
        <v>0</v>
      </c>
      <c r="AR49" s="119" t="b">
        <v>0</v>
      </c>
      <c r="AS49" s="119" t="b">
        <v>0</v>
      </c>
      <c r="AT49" s="119" t="b">
        <v>0</v>
      </c>
      <c r="AU49" s="119" t="b">
        <v>0</v>
      </c>
      <c r="AV49" s="119" t="b">
        <v>0</v>
      </c>
      <c r="AW49" s="119" t="b">
        <v>0</v>
      </c>
      <c r="AX49" s="119" t="b">
        <v>0</v>
      </c>
      <c r="AY49" s="119" t="b">
        <v>1</v>
      </c>
      <c r="AZ49" s="119" t="b">
        <v>0</v>
      </c>
      <c r="BA49" s="119" t="b">
        <v>1</v>
      </c>
      <c r="BB49" s="119" t="b">
        <v>0</v>
      </c>
      <c r="BC49" s="119" t="b">
        <v>0</v>
      </c>
      <c r="BD49" s="119" t="b">
        <v>1</v>
      </c>
      <c r="BE49" s="119" t="b">
        <v>1</v>
      </c>
    </row>
    <row r="50">
      <c r="A50" s="135" t="s">
        <v>1244</v>
      </c>
      <c r="B50" s="132">
        <v>8.308856585E9</v>
      </c>
      <c r="C50" s="136"/>
      <c r="D50" s="133" t="s">
        <v>830</v>
      </c>
      <c r="E50" s="112"/>
      <c r="F50" s="132" t="b">
        <v>0</v>
      </c>
      <c r="G50" s="132" t="b">
        <v>0</v>
      </c>
      <c r="H50" s="132" t="b">
        <v>0</v>
      </c>
      <c r="I50" s="132" t="b">
        <v>0</v>
      </c>
      <c r="J50" s="132" t="b">
        <v>0</v>
      </c>
      <c r="K50" s="132" t="b">
        <v>0</v>
      </c>
      <c r="L50" s="132" t="b">
        <v>0</v>
      </c>
      <c r="M50" s="132" t="b">
        <v>0</v>
      </c>
      <c r="N50" s="132" t="b">
        <v>0</v>
      </c>
      <c r="O50" s="132" t="b">
        <v>0</v>
      </c>
      <c r="P50" s="132" t="b">
        <v>0</v>
      </c>
      <c r="Q50" s="132" t="b">
        <v>0</v>
      </c>
      <c r="R50" s="132" t="b">
        <v>0</v>
      </c>
      <c r="S50" s="132" t="b">
        <v>0</v>
      </c>
      <c r="T50" s="132" t="b">
        <v>0</v>
      </c>
      <c r="U50" s="132" t="b">
        <v>0</v>
      </c>
      <c r="V50" s="132" t="b">
        <v>0</v>
      </c>
      <c r="W50" s="132" t="b">
        <v>0</v>
      </c>
      <c r="X50" s="132" t="b">
        <v>0</v>
      </c>
      <c r="Y50" s="132" t="b">
        <v>0</v>
      </c>
      <c r="Z50" s="132" t="b">
        <v>0</v>
      </c>
      <c r="AA50" s="132" t="b">
        <v>0</v>
      </c>
      <c r="AB50" s="132" t="b">
        <v>0</v>
      </c>
      <c r="AC50" s="132" t="b">
        <v>0</v>
      </c>
      <c r="AD50" s="132" t="b">
        <v>0</v>
      </c>
      <c r="AE50" s="132" t="b">
        <v>0</v>
      </c>
      <c r="AF50" s="132" t="b">
        <v>0</v>
      </c>
      <c r="AG50" s="132" t="b">
        <v>0</v>
      </c>
      <c r="AH50" s="132" t="b">
        <v>0</v>
      </c>
      <c r="AI50" s="132" t="b">
        <v>0</v>
      </c>
      <c r="AJ50" s="132" t="b">
        <v>0</v>
      </c>
      <c r="AK50" s="132" t="b">
        <v>0</v>
      </c>
      <c r="AL50" s="132" t="b">
        <v>0</v>
      </c>
      <c r="AM50" s="132" t="b">
        <v>0</v>
      </c>
      <c r="AN50" s="132" t="b">
        <v>0</v>
      </c>
      <c r="AO50" s="132" t="b">
        <v>0</v>
      </c>
      <c r="AP50" s="132" t="b">
        <v>1</v>
      </c>
      <c r="AQ50" s="132" t="b">
        <v>1</v>
      </c>
      <c r="AR50" s="132" t="b">
        <v>1</v>
      </c>
      <c r="AS50" s="132" t="b">
        <v>1</v>
      </c>
      <c r="AT50" s="132" t="b">
        <v>1</v>
      </c>
      <c r="AU50" s="132" t="b">
        <v>1</v>
      </c>
      <c r="AV50" s="132" t="b">
        <v>0</v>
      </c>
      <c r="AW50" s="132" t="b">
        <v>0</v>
      </c>
      <c r="AX50" s="132" t="b">
        <v>1</v>
      </c>
      <c r="AY50" s="132" t="b">
        <v>0</v>
      </c>
      <c r="AZ50" s="132" t="b">
        <v>1</v>
      </c>
      <c r="BA50" s="132" t="b">
        <v>1</v>
      </c>
      <c r="BB50" s="132" t="b">
        <v>1</v>
      </c>
      <c r="BC50" s="132" t="b">
        <v>1</v>
      </c>
      <c r="BD50" s="132" t="b">
        <v>0</v>
      </c>
      <c r="BE50" s="132" t="b">
        <v>0</v>
      </c>
    </row>
  </sheetData>
  <mergeCells count="6">
    <mergeCell ref="E2:E3"/>
    <mergeCell ref="E4:E12"/>
    <mergeCell ref="E13:E15"/>
    <mergeCell ref="E16:E34"/>
    <mergeCell ref="E35:E45"/>
    <mergeCell ref="E46:E5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6" t="s">
        <v>0</v>
      </c>
      <c r="B1" s="126" t="s">
        <v>965</v>
      </c>
      <c r="C1" s="127" t="s">
        <v>1</v>
      </c>
      <c r="D1" s="126" t="s">
        <v>966</v>
      </c>
      <c r="E1" s="105" t="s">
        <v>967</v>
      </c>
      <c r="F1" s="137">
        <v>46098.0</v>
      </c>
      <c r="G1" s="137">
        <v>46097.0</v>
      </c>
      <c r="H1" s="137">
        <v>46094.0</v>
      </c>
      <c r="I1" s="137">
        <v>46093.0</v>
      </c>
      <c r="J1" s="137">
        <v>46091.0</v>
      </c>
      <c r="K1" s="137">
        <v>46090.0</v>
      </c>
      <c r="L1" s="137">
        <v>46087.0</v>
      </c>
      <c r="M1" s="137">
        <v>46086.0</v>
      </c>
      <c r="N1" s="137">
        <v>46084.0</v>
      </c>
      <c r="O1" s="137">
        <v>46083.0</v>
      </c>
      <c r="P1" s="137">
        <v>46080.0</v>
      </c>
      <c r="Q1" s="137">
        <v>46079.0</v>
      </c>
      <c r="R1" s="137">
        <v>46077.0</v>
      </c>
      <c r="S1" s="137">
        <v>46076.0</v>
      </c>
      <c r="T1" s="137">
        <v>46073.0</v>
      </c>
      <c r="U1" s="137">
        <v>46072.0</v>
      </c>
      <c r="V1" s="137">
        <v>46070.0</v>
      </c>
      <c r="W1" s="137">
        <v>46069.0</v>
      </c>
    </row>
    <row r="2">
      <c r="A2" s="138" t="s">
        <v>1245</v>
      </c>
      <c r="B2" s="139">
        <v>9.582841333E9</v>
      </c>
      <c r="C2" s="140" t="s">
        <v>1246</v>
      </c>
      <c r="D2" s="141" t="s">
        <v>571</v>
      </c>
      <c r="E2" s="142" t="s">
        <v>1247</v>
      </c>
      <c r="F2" s="113" t="b">
        <v>1</v>
      </c>
      <c r="G2" s="113" t="b">
        <v>1</v>
      </c>
      <c r="H2" s="113" t="b">
        <v>1</v>
      </c>
      <c r="I2" s="113" t="b">
        <v>1</v>
      </c>
      <c r="J2" s="113" t="b">
        <v>1</v>
      </c>
      <c r="K2" s="113" t="b">
        <v>1</v>
      </c>
      <c r="L2" s="113" t="b">
        <v>1</v>
      </c>
      <c r="M2" s="113" t="b">
        <v>1</v>
      </c>
      <c r="N2" s="113" t="b">
        <v>0</v>
      </c>
      <c r="O2" s="113" t="b">
        <v>1</v>
      </c>
      <c r="P2" s="113" t="b">
        <v>1</v>
      </c>
      <c r="Q2" s="113" t="b">
        <v>1</v>
      </c>
      <c r="R2" s="113" t="b">
        <v>1</v>
      </c>
      <c r="S2" s="113" t="b">
        <v>1</v>
      </c>
      <c r="T2" s="113" t="b">
        <v>1</v>
      </c>
      <c r="U2" s="113" t="b">
        <v>1</v>
      </c>
      <c r="V2" s="113" t="b">
        <v>1</v>
      </c>
      <c r="W2" s="113" t="b">
        <v>1</v>
      </c>
    </row>
    <row r="3">
      <c r="A3" s="143" t="s">
        <v>1248</v>
      </c>
      <c r="B3" s="113">
        <v>8.449982494E9</v>
      </c>
      <c r="C3" s="113" t="s">
        <v>1249</v>
      </c>
      <c r="D3" s="117" t="s">
        <v>571</v>
      </c>
      <c r="E3" s="144"/>
      <c r="F3" s="113" t="b">
        <v>1</v>
      </c>
      <c r="G3" s="113" t="b">
        <v>1</v>
      </c>
      <c r="H3" s="113" t="b">
        <v>1</v>
      </c>
      <c r="I3" s="113" t="b">
        <v>1</v>
      </c>
      <c r="J3" s="113" t="b">
        <v>1</v>
      </c>
      <c r="K3" s="113" t="b">
        <v>1</v>
      </c>
      <c r="L3" s="113" t="b">
        <v>1</v>
      </c>
      <c r="M3" s="113" t="b">
        <v>1</v>
      </c>
      <c r="N3" s="113" t="b">
        <v>1</v>
      </c>
      <c r="O3" s="113" t="b">
        <v>0</v>
      </c>
      <c r="P3" s="113" t="b">
        <v>1</v>
      </c>
      <c r="Q3" s="113" t="b">
        <v>1</v>
      </c>
      <c r="R3" s="113" t="b">
        <v>1</v>
      </c>
      <c r="S3" s="113" t="b">
        <v>1</v>
      </c>
      <c r="T3" s="113" t="b">
        <v>1</v>
      </c>
      <c r="U3" s="113" t="b">
        <v>1</v>
      </c>
      <c r="V3" s="113" t="b">
        <v>1</v>
      </c>
      <c r="W3" s="113" t="b">
        <v>1</v>
      </c>
    </row>
    <row r="4">
      <c r="A4" s="143" t="s">
        <v>1250</v>
      </c>
      <c r="B4" s="113">
        <v>8.882387458E9</v>
      </c>
      <c r="C4" s="113" t="s">
        <v>1251</v>
      </c>
      <c r="D4" s="117" t="s">
        <v>571</v>
      </c>
      <c r="E4" s="144"/>
      <c r="F4" s="113" t="b">
        <v>0</v>
      </c>
      <c r="G4" s="113" t="b">
        <v>1</v>
      </c>
      <c r="H4" s="113" t="b">
        <v>1</v>
      </c>
      <c r="I4" s="113" t="b">
        <v>1</v>
      </c>
      <c r="J4" s="113" t="b">
        <v>0</v>
      </c>
      <c r="K4" s="113" t="b">
        <v>1</v>
      </c>
      <c r="L4" s="113" t="b">
        <v>0</v>
      </c>
      <c r="M4" s="113" t="b">
        <v>1</v>
      </c>
      <c r="N4" s="113" t="b">
        <v>1</v>
      </c>
      <c r="O4" s="113" t="b">
        <v>1</v>
      </c>
      <c r="P4" s="113" t="b">
        <v>1</v>
      </c>
      <c r="Q4" s="113" t="b">
        <v>1</v>
      </c>
      <c r="R4" s="113" t="b">
        <v>1</v>
      </c>
      <c r="S4" s="113" t="b">
        <v>1</v>
      </c>
      <c r="T4" s="113" t="b">
        <v>1</v>
      </c>
      <c r="U4" s="113" t="b">
        <v>1</v>
      </c>
      <c r="V4" s="113" t="b">
        <v>1</v>
      </c>
      <c r="W4" s="113" t="b">
        <v>0</v>
      </c>
    </row>
    <row r="5">
      <c r="A5" s="143" t="s">
        <v>1252</v>
      </c>
      <c r="B5" s="113">
        <v>7.72884017E9</v>
      </c>
      <c r="C5" s="113" t="s">
        <v>1253</v>
      </c>
      <c r="D5" s="117" t="s">
        <v>571</v>
      </c>
      <c r="E5" s="144"/>
      <c r="F5" s="113" t="b">
        <v>1</v>
      </c>
      <c r="G5" s="113" t="b">
        <v>1</v>
      </c>
      <c r="H5" s="113" t="b">
        <v>1</v>
      </c>
      <c r="I5" s="113" t="b">
        <v>1</v>
      </c>
      <c r="J5" s="113" t="b">
        <v>1</v>
      </c>
      <c r="K5" s="113" t="b">
        <v>1</v>
      </c>
      <c r="L5" s="113" t="b">
        <v>1</v>
      </c>
      <c r="M5" s="113" t="b">
        <v>1</v>
      </c>
      <c r="N5" s="113" t="b">
        <v>1</v>
      </c>
      <c r="O5" s="113" t="b">
        <v>1</v>
      </c>
      <c r="P5" s="113" t="b">
        <v>1</v>
      </c>
      <c r="Q5" s="113" t="b">
        <v>1</v>
      </c>
      <c r="R5" s="113" t="b">
        <v>1</v>
      </c>
      <c r="S5" s="113" t="b">
        <v>1</v>
      </c>
      <c r="T5" s="113" t="b">
        <v>1</v>
      </c>
      <c r="U5" s="113" t="b">
        <v>1</v>
      </c>
      <c r="V5" s="113" t="b">
        <v>1</v>
      </c>
      <c r="W5" s="113" t="b">
        <v>1</v>
      </c>
    </row>
    <row r="6">
      <c r="A6" s="143" t="s">
        <v>1254</v>
      </c>
      <c r="B6" s="113">
        <v>9.45339757E9</v>
      </c>
      <c r="C6" s="113" t="s">
        <v>1255</v>
      </c>
      <c r="D6" s="117" t="s">
        <v>571</v>
      </c>
      <c r="E6" s="144"/>
      <c r="F6" s="113" t="b">
        <v>0</v>
      </c>
      <c r="G6" s="113" t="b">
        <v>0</v>
      </c>
      <c r="H6" s="113" t="b">
        <v>1</v>
      </c>
      <c r="I6" s="113" t="b">
        <v>1</v>
      </c>
      <c r="J6" s="113" t="b">
        <v>1</v>
      </c>
      <c r="K6" s="113" t="b">
        <v>0</v>
      </c>
      <c r="L6" s="113" t="b">
        <v>0</v>
      </c>
      <c r="M6" s="113" t="b">
        <v>1</v>
      </c>
      <c r="N6" s="113" t="b">
        <v>1</v>
      </c>
      <c r="O6" s="113" t="b">
        <v>0</v>
      </c>
      <c r="P6" s="113" t="b">
        <v>1</v>
      </c>
      <c r="Q6" s="113" t="b">
        <v>1</v>
      </c>
      <c r="R6" s="113" t="b">
        <v>1</v>
      </c>
      <c r="S6" s="113" t="b">
        <v>1</v>
      </c>
      <c r="T6" s="113" t="b">
        <v>0</v>
      </c>
      <c r="U6" s="113" t="b">
        <v>0</v>
      </c>
      <c r="V6" s="113" t="b">
        <v>0</v>
      </c>
      <c r="W6" s="113" t="b">
        <v>0</v>
      </c>
    </row>
    <row r="7">
      <c r="A7" s="143" t="s">
        <v>1256</v>
      </c>
      <c r="B7" s="113">
        <v>8.595296742E9</v>
      </c>
      <c r="C7" s="145" t="s">
        <v>1257</v>
      </c>
      <c r="D7" s="117" t="s">
        <v>571</v>
      </c>
      <c r="E7" s="144"/>
      <c r="F7" s="113" t="b">
        <v>0</v>
      </c>
      <c r="G7" s="113" t="b">
        <v>0</v>
      </c>
      <c r="H7" s="113" t="b">
        <v>1</v>
      </c>
      <c r="I7" s="113" t="b">
        <v>1</v>
      </c>
      <c r="J7" s="113" t="b">
        <v>1</v>
      </c>
      <c r="K7" s="113" t="b">
        <v>1</v>
      </c>
      <c r="L7" s="113" t="b">
        <v>1</v>
      </c>
      <c r="M7" s="113" t="b">
        <v>1</v>
      </c>
      <c r="N7" s="113" t="b">
        <v>1</v>
      </c>
      <c r="O7" s="113" t="b">
        <v>1</v>
      </c>
      <c r="P7" s="113" t="b">
        <v>0</v>
      </c>
      <c r="Q7" s="113" t="b">
        <v>1</v>
      </c>
      <c r="R7" s="113" t="b">
        <v>1</v>
      </c>
      <c r="S7" s="113" t="b">
        <v>0</v>
      </c>
      <c r="T7" s="113" t="b">
        <v>0</v>
      </c>
      <c r="U7" s="113" t="b">
        <v>0</v>
      </c>
      <c r="V7" s="113" t="b">
        <v>0</v>
      </c>
      <c r="W7" s="113" t="b">
        <v>0</v>
      </c>
    </row>
    <row r="8">
      <c r="A8" s="143" t="s">
        <v>1258</v>
      </c>
      <c r="B8" s="113">
        <v>9.311343414E9</v>
      </c>
      <c r="C8" s="113" t="s">
        <v>1259</v>
      </c>
      <c r="D8" s="117" t="s">
        <v>571</v>
      </c>
      <c r="E8" s="144"/>
      <c r="F8" s="113" t="b">
        <v>1</v>
      </c>
      <c r="G8" s="113" t="b">
        <v>1</v>
      </c>
      <c r="H8" s="113" t="b">
        <v>1</v>
      </c>
      <c r="I8" s="113" t="b">
        <v>1</v>
      </c>
      <c r="J8" s="113" t="b">
        <v>1</v>
      </c>
      <c r="K8" s="113" t="b">
        <v>1</v>
      </c>
      <c r="L8" s="113" t="b">
        <v>1</v>
      </c>
      <c r="M8" s="113" t="b">
        <v>1</v>
      </c>
      <c r="N8" s="113" t="b">
        <v>1</v>
      </c>
      <c r="O8" s="113" t="b">
        <v>1</v>
      </c>
      <c r="P8" s="113" t="b">
        <v>1</v>
      </c>
      <c r="Q8" s="113" t="b">
        <v>1</v>
      </c>
      <c r="R8" s="113" t="b">
        <v>1</v>
      </c>
      <c r="S8" s="113" t="b">
        <v>0</v>
      </c>
      <c r="T8" s="113" t="b">
        <v>0</v>
      </c>
      <c r="U8" s="113" t="b">
        <v>0</v>
      </c>
      <c r="V8" s="113" t="b">
        <v>0</v>
      </c>
      <c r="W8" s="113" t="b">
        <v>0</v>
      </c>
    </row>
    <row r="9">
      <c r="A9" s="143" t="s">
        <v>1260</v>
      </c>
      <c r="B9" s="113">
        <v>9.058569977E9</v>
      </c>
      <c r="C9" s="113" t="s">
        <v>1261</v>
      </c>
      <c r="D9" s="117" t="s">
        <v>571</v>
      </c>
      <c r="E9" s="146"/>
      <c r="F9" s="113" t="b">
        <v>1</v>
      </c>
      <c r="G9" s="113" t="b">
        <v>1</v>
      </c>
      <c r="H9" s="113" t="b">
        <v>1</v>
      </c>
      <c r="I9" s="113" t="b">
        <v>1</v>
      </c>
      <c r="J9" s="113" t="b">
        <v>1</v>
      </c>
      <c r="K9" s="113" t="b">
        <v>1</v>
      </c>
      <c r="L9" s="113" t="b">
        <v>0</v>
      </c>
      <c r="M9" s="113" t="b">
        <v>0</v>
      </c>
      <c r="N9" s="113" t="b">
        <v>0</v>
      </c>
      <c r="O9" s="113" t="b">
        <v>1</v>
      </c>
      <c r="P9" s="113" t="b">
        <v>1</v>
      </c>
      <c r="Q9" s="113" t="b">
        <v>1</v>
      </c>
      <c r="R9" s="113" t="b">
        <v>1</v>
      </c>
      <c r="S9" s="113" t="b">
        <v>0</v>
      </c>
      <c r="T9" s="113" t="b">
        <v>0</v>
      </c>
      <c r="U9" s="113" t="b">
        <v>0</v>
      </c>
      <c r="V9" s="113" t="b">
        <v>0</v>
      </c>
      <c r="W9" s="113" t="b">
        <v>0</v>
      </c>
    </row>
    <row r="10">
      <c r="A10" s="147" t="s">
        <v>1262</v>
      </c>
      <c r="B10" s="148">
        <v>9.580228419E9</v>
      </c>
      <c r="C10" s="148" t="s">
        <v>1263</v>
      </c>
      <c r="D10" s="149" t="s">
        <v>83</v>
      </c>
      <c r="E10" s="150" t="s">
        <v>1264</v>
      </c>
      <c r="F10" s="151" t="b">
        <v>1</v>
      </c>
      <c r="G10" s="151" t="b">
        <v>1</v>
      </c>
      <c r="H10" s="151" t="b">
        <v>1</v>
      </c>
      <c r="I10" s="151" t="b">
        <v>1</v>
      </c>
      <c r="J10" s="151" t="b">
        <v>1</v>
      </c>
      <c r="K10" s="151" t="b">
        <v>1</v>
      </c>
      <c r="L10" s="151" t="b">
        <v>1</v>
      </c>
      <c r="M10" s="151" t="b">
        <v>1</v>
      </c>
      <c r="N10" s="151" t="b">
        <v>1</v>
      </c>
      <c r="O10" s="151" t="b">
        <v>1</v>
      </c>
      <c r="P10" s="151" t="b">
        <v>1</v>
      </c>
      <c r="Q10" s="151" t="b">
        <v>1</v>
      </c>
      <c r="R10" s="151" t="b">
        <v>1</v>
      </c>
      <c r="S10" s="151" t="b">
        <v>1</v>
      </c>
      <c r="T10" s="151" t="b">
        <v>1</v>
      </c>
      <c r="U10" s="151" t="b">
        <v>1</v>
      </c>
      <c r="V10" s="151" t="b">
        <v>1</v>
      </c>
      <c r="W10" s="151" t="b">
        <v>1</v>
      </c>
    </row>
    <row r="11">
      <c r="A11" s="152" t="s">
        <v>1265</v>
      </c>
      <c r="B11" s="151">
        <v>9.861665152E9</v>
      </c>
      <c r="C11" s="151" t="s">
        <v>1266</v>
      </c>
      <c r="D11" s="153" t="s">
        <v>83</v>
      </c>
      <c r="E11" s="144"/>
      <c r="F11" s="151" t="b">
        <v>1</v>
      </c>
      <c r="G11" s="151" t="b">
        <v>1</v>
      </c>
      <c r="H11" s="151" t="b">
        <v>1</v>
      </c>
      <c r="I11" s="151" t="b">
        <v>1</v>
      </c>
      <c r="J11" s="151" t="b">
        <v>1</v>
      </c>
      <c r="K11" s="151" t="b">
        <v>1</v>
      </c>
      <c r="L11" s="151" t="b">
        <v>1</v>
      </c>
      <c r="M11" s="151" t="b">
        <v>1</v>
      </c>
      <c r="N11" s="151" t="b">
        <v>1</v>
      </c>
      <c r="O11" s="151" t="b">
        <v>1</v>
      </c>
      <c r="P11" s="151" t="b">
        <v>1</v>
      </c>
      <c r="Q11" s="151" t="b">
        <v>1</v>
      </c>
      <c r="R11" s="151" t="b">
        <v>1</v>
      </c>
      <c r="S11" s="151" t="b">
        <v>1</v>
      </c>
      <c r="T11" s="151" t="b">
        <v>1</v>
      </c>
      <c r="U11" s="151" t="b">
        <v>1</v>
      </c>
      <c r="V11" s="151" t="b">
        <v>1</v>
      </c>
      <c r="W11" s="151" t="b">
        <v>1</v>
      </c>
    </row>
    <row r="12">
      <c r="A12" s="152" t="s">
        <v>1267</v>
      </c>
      <c r="B12" s="151">
        <v>9.919740894E9</v>
      </c>
      <c r="C12" s="151" t="s">
        <v>1268</v>
      </c>
      <c r="D12" s="153" t="s">
        <v>83</v>
      </c>
      <c r="E12" s="146"/>
      <c r="F12" s="151" t="b">
        <v>1</v>
      </c>
      <c r="G12" s="151" t="b">
        <v>1</v>
      </c>
      <c r="H12" s="151" t="b">
        <v>1</v>
      </c>
      <c r="I12" s="151" t="b">
        <v>1</v>
      </c>
      <c r="J12" s="151" t="b">
        <v>1</v>
      </c>
      <c r="K12" s="151" t="b">
        <v>1</v>
      </c>
      <c r="L12" s="151" t="b">
        <v>1</v>
      </c>
      <c r="M12" s="151" t="b">
        <v>1</v>
      </c>
      <c r="N12" s="151" t="b">
        <v>0</v>
      </c>
      <c r="O12" s="151" t="b">
        <v>0</v>
      </c>
      <c r="P12" s="151" t="b">
        <v>0</v>
      </c>
      <c r="Q12" s="151" t="b">
        <v>0</v>
      </c>
      <c r="R12" s="151" t="b">
        <v>0</v>
      </c>
      <c r="S12" s="151" t="b">
        <v>0</v>
      </c>
      <c r="T12" s="151" t="b">
        <v>0</v>
      </c>
      <c r="U12" s="151" t="b">
        <v>0</v>
      </c>
      <c r="V12" s="151" t="b">
        <v>0</v>
      </c>
      <c r="W12" s="151" t="b">
        <v>0</v>
      </c>
    </row>
    <row r="13">
      <c r="A13" s="138" t="s">
        <v>1269</v>
      </c>
      <c r="B13" s="140">
        <v>9.693383058E9</v>
      </c>
      <c r="C13" s="140" t="s">
        <v>1270</v>
      </c>
      <c r="D13" s="141" t="s">
        <v>725</v>
      </c>
      <c r="E13" s="154" t="s">
        <v>1271</v>
      </c>
      <c r="F13" s="113" t="b">
        <v>0</v>
      </c>
      <c r="G13" s="113" t="b">
        <v>0</v>
      </c>
      <c r="H13" s="113" t="b">
        <v>0</v>
      </c>
      <c r="I13" s="113" t="b">
        <v>1</v>
      </c>
      <c r="J13" s="113" t="b">
        <v>1</v>
      </c>
      <c r="K13" s="113" t="b">
        <v>1</v>
      </c>
      <c r="L13" s="113" t="b">
        <v>0</v>
      </c>
      <c r="M13" s="113" t="b">
        <v>1</v>
      </c>
      <c r="N13" s="113" t="b">
        <v>0</v>
      </c>
      <c r="O13" s="113" t="b">
        <v>0</v>
      </c>
      <c r="P13" s="113" t="b">
        <v>0</v>
      </c>
      <c r="Q13" s="113" t="b">
        <v>1</v>
      </c>
      <c r="R13" s="113" t="b">
        <v>1</v>
      </c>
      <c r="S13" s="113" t="b">
        <v>1</v>
      </c>
      <c r="T13" s="113" t="b">
        <v>1</v>
      </c>
      <c r="U13" s="113" t="b">
        <v>1</v>
      </c>
      <c r="V13" s="113" t="b">
        <v>1</v>
      </c>
      <c r="W13" s="113" t="b">
        <v>1</v>
      </c>
    </row>
    <row r="14">
      <c r="A14" s="143" t="s">
        <v>1272</v>
      </c>
      <c r="B14" s="113">
        <v>9.264289295E9</v>
      </c>
      <c r="C14" s="113" t="s">
        <v>1273</v>
      </c>
      <c r="D14" s="117" t="s">
        <v>725</v>
      </c>
      <c r="E14" s="144"/>
      <c r="F14" s="113" t="b">
        <v>0</v>
      </c>
      <c r="G14" s="113" t="b">
        <v>0</v>
      </c>
      <c r="H14" s="113" t="b">
        <v>0</v>
      </c>
      <c r="I14" s="113" t="b">
        <v>0</v>
      </c>
      <c r="J14" s="113" t="b">
        <v>1</v>
      </c>
      <c r="K14" s="113" t="b">
        <v>0</v>
      </c>
      <c r="L14" s="113" t="b">
        <v>1</v>
      </c>
      <c r="M14" s="113" t="b">
        <v>0</v>
      </c>
      <c r="N14" s="113" t="b">
        <v>1</v>
      </c>
      <c r="O14" s="113" t="b">
        <v>0</v>
      </c>
      <c r="P14" s="113" t="b">
        <v>1</v>
      </c>
      <c r="Q14" s="113" t="b">
        <v>0</v>
      </c>
      <c r="R14" s="113" t="b">
        <v>0</v>
      </c>
      <c r="S14" s="113" t="b">
        <v>0</v>
      </c>
      <c r="T14" s="113" t="b">
        <v>0</v>
      </c>
      <c r="U14" s="113" t="b">
        <v>1</v>
      </c>
      <c r="V14" s="113" t="b">
        <v>1</v>
      </c>
      <c r="W14" s="113" t="b">
        <v>1</v>
      </c>
    </row>
    <row r="15">
      <c r="A15" s="155"/>
      <c r="B15" s="156"/>
      <c r="C15" s="156"/>
      <c r="D15" s="157"/>
      <c r="E15" s="144"/>
      <c r="F15" s="113" t="b">
        <v>0</v>
      </c>
      <c r="G15" s="113" t="b">
        <v>0</v>
      </c>
      <c r="H15" s="113" t="b">
        <v>0</v>
      </c>
      <c r="I15" s="113" t="b">
        <v>0</v>
      </c>
      <c r="J15" s="113" t="b">
        <v>0</v>
      </c>
      <c r="K15" s="113" t="b">
        <v>0</v>
      </c>
      <c r="L15" s="113" t="b">
        <v>0</v>
      </c>
      <c r="M15" s="113" t="b">
        <v>0</v>
      </c>
      <c r="N15" s="113" t="b">
        <v>0</v>
      </c>
      <c r="O15" s="113" t="b">
        <v>0</v>
      </c>
      <c r="P15" s="113" t="b">
        <v>0</v>
      </c>
      <c r="Q15" s="113" t="b">
        <v>0</v>
      </c>
      <c r="R15" s="113" t="b">
        <v>0</v>
      </c>
      <c r="S15" s="113" t="b">
        <v>0</v>
      </c>
      <c r="T15" s="113" t="b">
        <v>0</v>
      </c>
      <c r="U15" s="113" t="b">
        <v>0</v>
      </c>
      <c r="V15" s="113" t="b">
        <v>0</v>
      </c>
      <c r="W15" s="113" t="b">
        <v>0</v>
      </c>
    </row>
    <row r="16">
      <c r="A16" s="158" t="s">
        <v>1274</v>
      </c>
      <c r="B16" s="121">
        <v>8.210679363E9</v>
      </c>
      <c r="C16" s="121" t="s">
        <v>1275</v>
      </c>
      <c r="D16" s="117" t="s">
        <v>725</v>
      </c>
      <c r="E16" s="146"/>
      <c r="F16" s="113" t="b">
        <v>1</v>
      </c>
      <c r="G16" s="113" t="b">
        <v>1</v>
      </c>
      <c r="H16" s="113" t="b">
        <v>1</v>
      </c>
      <c r="I16" s="113" t="b">
        <v>1</v>
      </c>
      <c r="J16" s="113" t="b">
        <v>1</v>
      </c>
      <c r="K16" s="113" t="b">
        <v>0</v>
      </c>
      <c r="L16" s="113" t="b">
        <v>1</v>
      </c>
      <c r="M16" s="113" t="b">
        <v>1</v>
      </c>
      <c r="N16" s="113" t="b">
        <v>0</v>
      </c>
      <c r="O16" s="113" t="b">
        <v>1</v>
      </c>
      <c r="P16" s="113" t="b">
        <v>1</v>
      </c>
      <c r="Q16" s="113" t="b">
        <v>1</v>
      </c>
      <c r="R16" s="113" t="b">
        <v>0</v>
      </c>
      <c r="S16" s="113" t="b">
        <v>1</v>
      </c>
      <c r="T16" s="113" t="b">
        <v>0</v>
      </c>
      <c r="U16" s="113" t="b">
        <v>0</v>
      </c>
      <c r="V16" s="113" t="b">
        <v>1</v>
      </c>
      <c r="W16" s="113" t="b">
        <v>1</v>
      </c>
    </row>
    <row r="17">
      <c r="A17" s="147" t="s">
        <v>1276</v>
      </c>
      <c r="B17" s="148">
        <v>8.965077251E9</v>
      </c>
      <c r="C17" s="148" t="s">
        <v>1277</v>
      </c>
      <c r="D17" s="149" t="s">
        <v>22</v>
      </c>
      <c r="E17" s="150" t="s">
        <v>1278</v>
      </c>
      <c r="F17" s="151" t="b">
        <v>1</v>
      </c>
      <c r="G17" s="151" t="b">
        <v>1</v>
      </c>
      <c r="H17" s="151" t="b">
        <v>0</v>
      </c>
      <c r="I17" s="151" t="b">
        <v>1</v>
      </c>
      <c r="J17" s="151" t="b">
        <v>1</v>
      </c>
      <c r="K17" s="151" t="b">
        <v>0</v>
      </c>
      <c r="L17" s="151" t="b">
        <v>0</v>
      </c>
      <c r="M17" s="151" t="b">
        <v>0</v>
      </c>
      <c r="N17" s="151" t="b">
        <v>1</v>
      </c>
      <c r="O17" s="151" t="b">
        <v>1</v>
      </c>
      <c r="P17" s="151" t="b">
        <v>0</v>
      </c>
      <c r="Q17" s="151" t="b">
        <v>1</v>
      </c>
      <c r="R17" s="151" t="b">
        <v>0</v>
      </c>
      <c r="S17" s="151" t="b">
        <v>0</v>
      </c>
      <c r="T17" s="151" t="b">
        <v>0</v>
      </c>
      <c r="U17" s="151" t="b">
        <v>1</v>
      </c>
      <c r="V17" s="151" t="b">
        <v>0</v>
      </c>
      <c r="W17" s="151" t="b">
        <v>1</v>
      </c>
    </row>
    <row r="18">
      <c r="A18" s="152" t="s">
        <v>1279</v>
      </c>
      <c r="B18" s="151">
        <v>7.489448988E9</v>
      </c>
      <c r="C18" s="151" t="s">
        <v>1280</v>
      </c>
      <c r="D18" s="153" t="s">
        <v>22</v>
      </c>
      <c r="E18" s="144"/>
      <c r="F18" s="151" t="b">
        <v>0</v>
      </c>
      <c r="G18" s="151" t="b">
        <v>0</v>
      </c>
      <c r="H18" s="151" t="b">
        <v>0</v>
      </c>
      <c r="I18" s="151" t="b">
        <v>0</v>
      </c>
      <c r="J18" s="151" t="b">
        <v>0</v>
      </c>
      <c r="K18" s="151" t="b">
        <v>0</v>
      </c>
      <c r="L18" s="151" t="b">
        <v>1</v>
      </c>
      <c r="M18" s="151" t="b">
        <v>0</v>
      </c>
      <c r="N18" s="151" t="b">
        <v>1</v>
      </c>
      <c r="O18" s="151" t="b">
        <v>1</v>
      </c>
      <c r="P18" s="151" t="b">
        <v>1</v>
      </c>
      <c r="Q18" s="151" t="b">
        <v>1</v>
      </c>
      <c r="R18" s="151" t="b">
        <v>1</v>
      </c>
      <c r="S18" s="151" t="b">
        <v>1</v>
      </c>
      <c r="T18" s="151" t="b">
        <v>1</v>
      </c>
      <c r="U18" s="151" t="b">
        <v>1</v>
      </c>
      <c r="V18" s="151" t="b">
        <v>1</v>
      </c>
      <c r="W18" s="151" t="b">
        <v>0</v>
      </c>
    </row>
    <row r="19">
      <c r="A19" s="152" t="s">
        <v>1281</v>
      </c>
      <c r="B19" s="151">
        <v>7.737851453E9</v>
      </c>
      <c r="C19" s="151" t="s">
        <v>1282</v>
      </c>
      <c r="D19" s="153" t="s">
        <v>22</v>
      </c>
      <c r="E19" s="144"/>
      <c r="F19" s="151" t="b">
        <v>0</v>
      </c>
      <c r="G19" s="151" t="b">
        <v>0</v>
      </c>
      <c r="H19" s="151" t="b">
        <v>0</v>
      </c>
      <c r="I19" s="151" t="b">
        <v>0</v>
      </c>
      <c r="J19" s="151" t="b">
        <v>0</v>
      </c>
      <c r="K19" s="151" t="b">
        <v>0</v>
      </c>
      <c r="L19" s="151" t="b">
        <v>0</v>
      </c>
      <c r="M19" s="151" t="b">
        <v>0</v>
      </c>
      <c r="N19" s="151" t="b">
        <v>0</v>
      </c>
      <c r="O19" s="151" t="b">
        <v>1</v>
      </c>
      <c r="P19" s="151" t="b">
        <v>0</v>
      </c>
      <c r="Q19" s="151" t="b">
        <v>0</v>
      </c>
      <c r="R19" s="151" t="b">
        <v>0</v>
      </c>
      <c r="S19" s="151" t="b">
        <v>0</v>
      </c>
      <c r="T19" s="151" t="b">
        <v>1</v>
      </c>
      <c r="U19" s="151" t="b">
        <v>1</v>
      </c>
      <c r="V19" s="151" t="b">
        <v>1</v>
      </c>
      <c r="W19" s="151" t="b">
        <v>1</v>
      </c>
    </row>
    <row r="20">
      <c r="A20" s="159" t="s">
        <v>1283</v>
      </c>
      <c r="B20" s="160">
        <v>7.880054197E9</v>
      </c>
      <c r="C20" s="160" t="s">
        <v>1284</v>
      </c>
      <c r="D20" s="161" t="s">
        <v>22</v>
      </c>
      <c r="E20" s="146"/>
      <c r="F20" s="151" t="b">
        <v>1</v>
      </c>
      <c r="G20" s="151" t="b">
        <v>1</v>
      </c>
      <c r="H20" s="151" t="b">
        <v>1</v>
      </c>
      <c r="I20" s="151" t="b">
        <v>0</v>
      </c>
      <c r="J20" s="151" t="b">
        <v>1</v>
      </c>
      <c r="K20" s="151" t="b">
        <v>1</v>
      </c>
      <c r="L20" s="151" t="b">
        <v>1</v>
      </c>
      <c r="M20" s="151" t="b">
        <v>1</v>
      </c>
      <c r="N20" s="151" t="b">
        <v>1</v>
      </c>
      <c r="O20" s="151" t="b">
        <v>1</v>
      </c>
      <c r="P20" s="151" t="b">
        <v>1</v>
      </c>
      <c r="Q20" s="151" t="b">
        <v>0</v>
      </c>
      <c r="R20" s="151" t="b">
        <v>1</v>
      </c>
      <c r="S20" s="151" t="b">
        <v>1</v>
      </c>
      <c r="T20" s="151" t="b">
        <v>1</v>
      </c>
      <c r="U20" s="151" t="b">
        <v>1</v>
      </c>
      <c r="V20" s="151" t="b">
        <v>1</v>
      </c>
      <c r="W20" s="151" t="b">
        <v>0</v>
      </c>
    </row>
    <row r="21">
      <c r="A21" s="162" t="s">
        <v>1285</v>
      </c>
      <c r="B21" s="163">
        <v>9.156337541E9</v>
      </c>
      <c r="C21" s="163" t="s">
        <v>1286</v>
      </c>
      <c r="D21" s="163" t="s">
        <v>830</v>
      </c>
      <c r="E21" s="154" t="s">
        <v>1287</v>
      </c>
      <c r="F21" s="113" t="b">
        <v>0</v>
      </c>
      <c r="G21" s="113" t="b">
        <v>1</v>
      </c>
      <c r="H21" s="113" t="b">
        <v>1</v>
      </c>
      <c r="I21" s="113" t="b">
        <v>1</v>
      </c>
      <c r="J21" s="113" t="b">
        <v>1</v>
      </c>
      <c r="K21" s="113" t="b">
        <v>0</v>
      </c>
      <c r="L21" s="113" t="b">
        <v>1</v>
      </c>
      <c r="M21" s="113" t="b">
        <v>1</v>
      </c>
      <c r="N21" s="113" t="b">
        <v>1</v>
      </c>
      <c r="O21" s="113" t="b">
        <v>1</v>
      </c>
      <c r="P21" s="164" t="b">
        <v>1</v>
      </c>
      <c r="Q21" s="164" t="b">
        <v>1</v>
      </c>
      <c r="R21" s="164" t="b">
        <v>1</v>
      </c>
      <c r="S21" s="164" t="b">
        <v>1</v>
      </c>
      <c r="T21" s="164" t="b">
        <v>1</v>
      </c>
      <c r="U21" s="164" t="b">
        <v>1</v>
      </c>
      <c r="V21" s="164" t="b">
        <v>1</v>
      </c>
      <c r="W21" s="164" t="b">
        <v>1</v>
      </c>
    </row>
    <row r="22">
      <c r="A22" s="165" t="s">
        <v>1288</v>
      </c>
      <c r="B22" s="166">
        <v>9.209229107E9</v>
      </c>
      <c r="C22" s="166" t="s">
        <v>1289</v>
      </c>
      <c r="D22" s="166" t="s">
        <v>830</v>
      </c>
      <c r="E22" s="144"/>
      <c r="F22" s="113" t="b">
        <v>0</v>
      </c>
      <c r="G22" s="113" t="b">
        <v>1</v>
      </c>
      <c r="H22" s="113" t="b">
        <v>1</v>
      </c>
      <c r="I22" s="113" t="b">
        <v>1</v>
      </c>
      <c r="J22" s="113" t="b">
        <v>0</v>
      </c>
      <c r="K22" s="113" t="b">
        <v>0</v>
      </c>
      <c r="L22" s="113" t="b">
        <v>0</v>
      </c>
      <c r="M22" s="113" t="b">
        <v>1</v>
      </c>
      <c r="N22" s="113" t="b">
        <v>1</v>
      </c>
      <c r="O22" s="113" t="b">
        <v>1</v>
      </c>
      <c r="P22" s="164" t="b">
        <v>1</v>
      </c>
      <c r="Q22" s="164" t="b">
        <v>1</v>
      </c>
      <c r="R22" s="164" t="b">
        <v>1</v>
      </c>
      <c r="S22" s="164" t="b">
        <v>1</v>
      </c>
      <c r="T22" s="164" t="b">
        <v>1</v>
      </c>
      <c r="U22" s="164" t="b">
        <v>1</v>
      </c>
      <c r="V22" s="164" t="b">
        <v>1</v>
      </c>
      <c r="W22" s="164" t="b">
        <v>1</v>
      </c>
    </row>
    <row r="23">
      <c r="A23" s="167" t="s">
        <v>1290</v>
      </c>
      <c r="B23" s="168">
        <v>9.37305648E9</v>
      </c>
      <c r="C23" s="168" t="s">
        <v>1291</v>
      </c>
      <c r="D23" s="168" t="s">
        <v>830</v>
      </c>
      <c r="E23" s="146"/>
      <c r="F23" s="113" t="b">
        <v>0</v>
      </c>
      <c r="G23" s="113" t="b">
        <v>1</v>
      </c>
      <c r="H23" s="113" t="b">
        <v>1</v>
      </c>
      <c r="I23" s="113" t="b">
        <v>1</v>
      </c>
      <c r="J23" s="113" t="b">
        <v>1</v>
      </c>
      <c r="K23" s="113" t="b">
        <v>0</v>
      </c>
      <c r="L23" s="113" t="b">
        <v>1</v>
      </c>
      <c r="M23" s="113" t="b">
        <v>1</v>
      </c>
      <c r="N23" s="113" t="b">
        <v>1</v>
      </c>
      <c r="O23" s="113" t="b">
        <v>1</v>
      </c>
      <c r="P23" s="164" t="b">
        <v>1</v>
      </c>
      <c r="Q23" s="164" t="b">
        <v>0</v>
      </c>
      <c r="R23" s="164" t="b">
        <v>1</v>
      </c>
      <c r="S23" s="164" t="b">
        <v>0</v>
      </c>
      <c r="T23" s="164" t="b">
        <v>0</v>
      </c>
      <c r="U23" s="164" t="b">
        <v>1</v>
      </c>
      <c r="V23" s="164" t="b">
        <v>0</v>
      </c>
      <c r="W23" s="164" t="b">
        <v>1</v>
      </c>
    </row>
  </sheetData>
  <mergeCells count="5">
    <mergeCell ref="E2:E9"/>
    <mergeCell ref="E10:E12"/>
    <mergeCell ref="E13:E16"/>
    <mergeCell ref="E17:E20"/>
    <mergeCell ref="E21:E23"/>
  </mergeCells>
  <hyperlinks>
    <hyperlink r:id="rId1" ref="C7"/>
  </hyperlinks>
  <drawing r:id="rId2"/>
</worksheet>
</file>